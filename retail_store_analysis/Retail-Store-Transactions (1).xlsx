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dmin\Downloads\"/>
    </mc:Choice>
  </mc:AlternateContent>
  <bookViews>
    <workbookView xWindow="240" yWindow="12" windowWidth="16092" windowHeight="9660"/>
  </bookViews>
  <sheets>
    <sheet name="Sheet1" sheetId="1" r:id="rId1"/>
    <sheet name="Sheet2" sheetId="2" r:id="rId2"/>
  </sheets>
  <calcPr calcId="152511"/>
</workbook>
</file>

<file path=xl/calcChain.xml><?xml version="1.0" encoding="utf-8"?>
<calcChain xmlns="http://schemas.openxmlformats.org/spreadsheetml/2006/main">
  <c r="L200" i="2" l="1"/>
  <c r="L199" i="2"/>
  <c r="L198" i="2"/>
  <c r="L197" i="2"/>
  <c r="L196" i="2"/>
  <c r="L195" i="2"/>
  <c r="L194" i="2"/>
  <c r="L193" i="2"/>
  <c r="L192" i="2"/>
  <c r="L191" i="2"/>
  <c r="L190" i="2"/>
  <c r="L189" i="2"/>
  <c r="L188" i="2"/>
  <c r="L187" i="2"/>
  <c r="L186" i="2"/>
  <c r="L185" i="2"/>
  <c r="L184" i="2"/>
  <c r="L183" i="2"/>
  <c r="L182" i="2"/>
  <c r="L181" i="2"/>
  <c r="L180" i="2"/>
  <c r="L179" i="2"/>
  <c r="L178" i="2"/>
  <c r="L177" i="2"/>
  <c r="L176" i="2"/>
  <c r="L175" i="2"/>
  <c r="L174" i="2"/>
  <c r="L173" i="2"/>
  <c r="L172" i="2"/>
  <c r="L171" i="2"/>
  <c r="L170" i="2"/>
  <c r="L169" i="2"/>
  <c r="L168" i="2"/>
  <c r="L167" i="2"/>
  <c r="L166" i="2"/>
  <c r="L165" i="2"/>
  <c r="L164" i="2"/>
  <c r="L163" i="2"/>
  <c r="L162" i="2"/>
  <c r="L161" i="2"/>
  <c r="L160" i="2"/>
  <c r="L159" i="2"/>
  <c r="L158" i="2"/>
  <c r="L157" i="2"/>
  <c r="L156" i="2"/>
  <c r="L155" i="2"/>
  <c r="L154" i="2"/>
  <c r="L153" i="2"/>
  <c r="L152" i="2"/>
  <c r="L151" i="2"/>
  <c r="L150" i="2"/>
  <c r="L149" i="2"/>
  <c r="L148" i="2"/>
  <c r="L147" i="2"/>
  <c r="L146" i="2"/>
  <c r="L145" i="2"/>
  <c r="L144" i="2"/>
  <c r="L143" i="2"/>
  <c r="L142" i="2"/>
  <c r="L141" i="2"/>
  <c r="L140" i="2"/>
  <c r="L139" i="2"/>
  <c r="L138" i="2"/>
  <c r="L137" i="2"/>
  <c r="L136" i="2"/>
  <c r="L135" i="2"/>
  <c r="L134" i="2"/>
  <c r="L133" i="2"/>
  <c r="L132" i="2"/>
  <c r="L131" i="2"/>
  <c r="L130" i="2"/>
  <c r="L129" i="2"/>
  <c r="L128" i="2"/>
  <c r="L127" i="2"/>
  <c r="L126" i="2"/>
  <c r="L125" i="2"/>
  <c r="L124" i="2"/>
  <c r="L123" i="2"/>
  <c r="L122" i="2"/>
  <c r="L121" i="2"/>
  <c r="L120" i="2"/>
  <c r="L119" i="2"/>
  <c r="L118" i="2"/>
  <c r="L117" i="2"/>
  <c r="L116" i="2"/>
  <c r="L115" i="2"/>
  <c r="L114" i="2"/>
  <c r="L113" i="2"/>
  <c r="L112" i="2"/>
  <c r="L111" i="2"/>
  <c r="L110" i="2"/>
  <c r="L109" i="2"/>
  <c r="L108" i="2"/>
  <c r="L107" i="2"/>
  <c r="L106" i="2"/>
  <c r="L105" i="2"/>
  <c r="L104" i="2"/>
  <c r="L103" i="2"/>
  <c r="L102" i="2"/>
  <c r="L101" i="2"/>
  <c r="L100" i="2"/>
  <c r="L99" i="2"/>
  <c r="L98" i="2"/>
  <c r="L97" i="2"/>
  <c r="L96" i="2"/>
  <c r="L95" i="2"/>
  <c r="L94" i="2"/>
  <c r="L93" i="2"/>
  <c r="L92" i="2"/>
  <c r="L91" i="2"/>
  <c r="L90" i="2"/>
  <c r="L89" i="2"/>
  <c r="L88" i="2"/>
  <c r="L87" i="2"/>
  <c r="L86" i="2"/>
  <c r="L85" i="2"/>
  <c r="L84" i="2"/>
  <c r="L83" i="2"/>
  <c r="L82" i="2"/>
  <c r="L81" i="2"/>
  <c r="L80" i="2"/>
  <c r="L79" i="2"/>
  <c r="L78" i="2"/>
  <c r="L77" i="2"/>
  <c r="L76" i="2"/>
  <c r="L75" i="2"/>
  <c r="L74" i="2"/>
  <c r="L73" i="2"/>
  <c r="L72" i="2"/>
  <c r="L71" i="2"/>
  <c r="L70" i="2"/>
  <c r="L69" i="2"/>
  <c r="L68" i="2"/>
  <c r="L67" i="2"/>
  <c r="L66" i="2"/>
  <c r="L65" i="2"/>
  <c r="L64" i="2"/>
  <c r="L63" i="2"/>
  <c r="L62" i="2"/>
  <c r="L61" i="2"/>
  <c r="L60" i="2"/>
  <c r="L59" i="2"/>
  <c r="L58" i="2"/>
  <c r="L57" i="2"/>
  <c r="L56" i="2"/>
  <c r="L55" i="2"/>
  <c r="L54" i="2"/>
  <c r="L53" i="2"/>
  <c r="L52" i="2"/>
  <c r="L51" i="2"/>
  <c r="L50" i="2"/>
  <c r="L49" i="2"/>
  <c r="L48" i="2"/>
  <c r="L47" i="2"/>
  <c r="L46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30" i="2"/>
  <c r="L29" i="2"/>
  <c r="L28" i="2"/>
  <c r="L27" i="2"/>
  <c r="L26" i="2"/>
  <c r="L25" i="2"/>
  <c r="L24" i="2"/>
  <c r="L23" i="2"/>
  <c r="L22" i="2"/>
  <c r="L21" i="2"/>
  <c r="L20" i="2"/>
  <c r="L19" i="2"/>
  <c r="L18" i="2"/>
  <c r="L17" i="2"/>
  <c r="L16" i="2"/>
  <c r="L15" i="2"/>
  <c r="L14" i="2"/>
  <c r="L13" i="2"/>
  <c r="L12" i="2"/>
  <c r="L11" i="2"/>
  <c r="L10" i="2"/>
  <c r="L9" i="2"/>
  <c r="L8" i="2"/>
  <c r="L7" i="2"/>
  <c r="L6" i="2"/>
  <c r="L5" i="2"/>
  <c r="L4" i="2"/>
  <c r="L3" i="2"/>
  <c r="L2" i="2"/>
  <c r="Q14" i="1"/>
  <c r="S14" i="1"/>
  <c r="T14" i="1"/>
  <c r="L3" i="1"/>
  <c r="L4" i="1"/>
  <c r="L5" i="1"/>
  <c r="L6" i="1"/>
  <c r="L7" i="1"/>
  <c r="L8" i="1"/>
  <c r="L9" i="1"/>
  <c r="L10" i="1"/>
  <c r="L11" i="1"/>
  <c r="L12" i="1"/>
  <c r="L13" i="1"/>
  <c r="L14" i="1"/>
  <c r="L15" i="1"/>
  <c r="L16" i="1"/>
  <c r="L17" i="1"/>
  <c r="L18" i="1"/>
  <c r="L19" i="1"/>
  <c r="L20" i="1"/>
  <c r="L21" i="1"/>
  <c r="L22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73" i="1"/>
  <c r="L74" i="1"/>
  <c r="L75" i="1"/>
  <c r="L76" i="1"/>
  <c r="L77" i="1"/>
  <c r="L78" i="1"/>
  <c r="L79" i="1"/>
  <c r="L80" i="1"/>
  <c r="L81" i="1"/>
  <c r="L82" i="1"/>
  <c r="L83" i="1"/>
  <c r="L84" i="1"/>
  <c r="L85" i="1"/>
  <c r="L86" i="1"/>
  <c r="L87" i="1"/>
  <c r="L88" i="1"/>
  <c r="L89" i="1"/>
  <c r="L90" i="1"/>
  <c r="L91" i="1"/>
  <c r="L92" i="1"/>
  <c r="L93" i="1"/>
  <c r="L94" i="1"/>
  <c r="L95" i="1"/>
  <c r="L96" i="1"/>
  <c r="L97" i="1"/>
  <c r="L98" i="1"/>
  <c r="L99" i="1"/>
  <c r="L100" i="1"/>
  <c r="L101" i="1"/>
  <c r="L102" i="1"/>
  <c r="L103" i="1"/>
  <c r="L104" i="1"/>
  <c r="L105" i="1"/>
  <c r="L106" i="1"/>
  <c r="L107" i="1"/>
  <c r="L108" i="1"/>
  <c r="L109" i="1"/>
  <c r="L110" i="1"/>
  <c r="L111" i="1"/>
  <c r="L112" i="1"/>
  <c r="L113" i="1"/>
  <c r="L114" i="1"/>
  <c r="L115" i="1"/>
  <c r="L116" i="1"/>
  <c r="L117" i="1"/>
  <c r="L118" i="1"/>
  <c r="L119" i="1"/>
  <c r="L120" i="1"/>
  <c r="L121" i="1"/>
  <c r="L122" i="1"/>
  <c r="L123" i="1"/>
  <c r="L124" i="1"/>
  <c r="L125" i="1"/>
  <c r="L126" i="1"/>
  <c r="L127" i="1"/>
  <c r="L128" i="1"/>
  <c r="L129" i="1"/>
  <c r="L130" i="1"/>
  <c r="L131" i="1"/>
  <c r="L132" i="1"/>
  <c r="L133" i="1"/>
  <c r="L134" i="1"/>
  <c r="L135" i="1"/>
  <c r="L136" i="1"/>
  <c r="L137" i="1"/>
  <c r="L138" i="1"/>
  <c r="L139" i="1"/>
  <c r="L140" i="1"/>
  <c r="L141" i="1"/>
  <c r="L142" i="1"/>
  <c r="L143" i="1"/>
  <c r="L144" i="1"/>
  <c r="L145" i="1"/>
  <c r="L146" i="1"/>
  <c r="L147" i="1"/>
  <c r="L148" i="1"/>
  <c r="L149" i="1"/>
  <c r="L150" i="1"/>
  <c r="L151" i="1"/>
  <c r="L152" i="1"/>
  <c r="L153" i="1"/>
  <c r="L154" i="1"/>
  <c r="L155" i="1"/>
  <c r="L156" i="1"/>
  <c r="L157" i="1"/>
  <c r="L158" i="1"/>
  <c r="L159" i="1"/>
  <c r="L160" i="1"/>
  <c r="L161" i="1"/>
  <c r="L162" i="1"/>
  <c r="L163" i="1"/>
  <c r="L164" i="1"/>
  <c r="L165" i="1"/>
  <c r="L166" i="1"/>
  <c r="L167" i="1"/>
  <c r="L168" i="1"/>
  <c r="L169" i="1"/>
  <c r="L170" i="1"/>
  <c r="L171" i="1"/>
  <c r="L172" i="1"/>
  <c r="L173" i="1"/>
  <c r="L174" i="1"/>
  <c r="L175" i="1"/>
  <c r="L176" i="1"/>
  <c r="L177" i="1"/>
  <c r="L178" i="1"/>
  <c r="L179" i="1"/>
  <c r="L180" i="1"/>
  <c r="L181" i="1"/>
  <c r="L182" i="1"/>
  <c r="L183" i="1"/>
  <c r="L184" i="1"/>
  <c r="L185" i="1"/>
  <c r="L186" i="1"/>
  <c r="L187" i="1"/>
  <c r="L188" i="1"/>
  <c r="L189" i="1"/>
  <c r="L190" i="1"/>
  <c r="L191" i="1"/>
  <c r="L192" i="1"/>
  <c r="L193" i="1"/>
  <c r="L194" i="1"/>
  <c r="L195" i="1"/>
  <c r="L196" i="1"/>
  <c r="L197" i="1"/>
  <c r="L198" i="1"/>
  <c r="L199" i="1"/>
  <c r="L200" i="1"/>
  <c r="L2" i="1"/>
  <c r="S8" i="1" l="1"/>
  <c r="S9" i="1"/>
  <c r="S10" i="1"/>
  <c r="S11" i="1"/>
  <c r="S12" i="1"/>
  <c r="S13" i="1"/>
  <c r="S7" i="1"/>
  <c r="Q8" i="1"/>
  <c r="Q9" i="1"/>
  <c r="Q10" i="1"/>
  <c r="Q7" i="1"/>
</calcChain>
</file>

<file path=xl/sharedStrings.xml><?xml version="1.0" encoding="utf-8"?>
<sst xmlns="http://schemas.openxmlformats.org/spreadsheetml/2006/main" count="4028" uniqueCount="441">
  <si>
    <t>StoreID</t>
  </si>
  <si>
    <t>Location</t>
  </si>
  <si>
    <t>Product</t>
  </si>
  <si>
    <t>Quantity</t>
  </si>
  <si>
    <t>PaymentType</t>
  </si>
  <si>
    <t>TransactionID</t>
  </si>
  <si>
    <t>Cashier</t>
  </si>
  <si>
    <t>StoreManager</t>
  </si>
  <si>
    <t>TimeOfDay</t>
  </si>
  <si>
    <t>DayOfWeek</t>
  </si>
  <si>
    <t>TotalPrice</t>
  </si>
  <si>
    <t>15:29</t>
  </si>
  <si>
    <t>16:53</t>
  </si>
  <si>
    <t>21:22</t>
  </si>
  <si>
    <t>14:28</t>
  </si>
  <si>
    <t>20:00</t>
  </si>
  <si>
    <t>21:51</t>
  </si>
  <si>
    <t>9:11</t>
  </si>
  <si>
    <t>20:36</t>
  </si>
  <si>
    <t>16:42</t>
  </si>
  <si>
    <t>19:44</t>
  </si>
  <si>
    <t>20:29</t>
  </si>
  <si>
    <t>12:03</t>
  </si>
  <si>
    <t>21:08</t>
  </si>
  <si>
    <t>15:41</t>
  </si>
  <si>
    <t>9:32</t>
  </si>
  <si>
    <t>20:21</t>
  </si>
  <si>
    <t>11:12</t>
  </si>
  <si>
    <t>18:59</t>
  </si>
  <si>
    <t>14:49</t>
  </si>
  <si>
    <t>17:49</t>
  </si>
  <si>
    <t>10:32</t>
  </si>
  <si>
    <t>14:34</t>
  </si>
  <si>
    <t>21:07</t>
  </si>
  <si>
    <t>20:43</t>
  </si>
  <si>
    <t>10:59</t>
  </si>
  <si>
    <t>20:14</t>
  </si>
  <si>
    <t>20:54</t>
  </si>
  <si>
    <t>17:17</t>
  </si>
  <si>
    <t>21:29</t>
  </si>
  <si>
    <t>15:13</t>
  </si>
  <si>
    <t>9:43</t>
  </si>
  <si>
    <t>15:22</t>
  </si>
  <si>
    <t>20:27</t>
  </si>
  <si>
    <t>11:21</t>
  </si>
  <si>
    <t>20:03</t>
  </si>
  <si>
    <t>16:46</t>
  </si>
  <si>
    <t>13:50</t>
  </si>
  <si>
    <t>19:25</t>
  </si>
  <si>
    <t>20:39</t>
  </si>
  <si>
    <t>21:33</t>
  </si>
  <si>
    <t>15:39</t>
  </si>
  <si>
    <t>17:10</t>
  </si>
  <si>
    <t>14:08</t>
  </si>
  <si>
    <t>16:33</t>
  </si>
  <si>
    <t>18:22</t>
  </si>
  <si>
    <t>17:54</t>
  </si>
  <si>
    <t>10:08</t>
  </si>
  <si>
    <t>19:51</t>
  </si>
  <si>
    <t>17:52</t>
  </si>
  <si>
    <t>14:18</t>
  </si>
  <si>
    <t>16:36</t>
  </si>
  <si>
    <t>12:28</t>
  </si>
  <si>
    <t>21:50</t>
  </si>
  <si>
    <t>12:52</t>
  </si>
  <si>
    <t>19:58</t>
  </si>
  <si>
    <t>21:31</t>
  </si>
  <si>
    <t>14:20</t>
  </si>
  <si>
    <t>13:09</t>
  </si>
  <si>
    <t>19:38</t>
  </si>
  <si>
    <t>17:44</t>
  </si>
  <si>
    <t>14:37</t>
  </si>
  <si>
    <t>17:05</t>
  </si>
  <si>
    <t>18:57</t>
  </si>
  <si>
    <t>15:30</t>
  </si>
  <si>
    <t>20:56</t>
  </si>
  <si>
    <t>11:33</t>
  </si>
  <si>
    <t>19:04</t>
  </si>
  <si>
    <t>9:49</t>
  </si>
  <si>
    <t>21:12</t>
  </si>
  <si>
    <t>14:06</t>
  </si>
  <si>
    <t>13:52</t>
  </si>
  <si>
    <t>21:36</t>
  </si>
  <si>
    <t>18:40</t>
  </si>
  <si>
    <t>11:15</t>
  </si>
  <si>
    <t>13:49</t>
  </si>
  <si>
    <t>10:19</t>
  </si>
  <si>
    <t>17:07</t>
  </si>
  <si>
    <t>19:03</t>
  </si>
  <si>
    <t>19:26</t>
  </si>
  <si>
    <t>16:34</t>
  </si>
  <si>
    <t>11:07</t>
  </si>
  <si>
    <t>9:07</t>
  </si>
  <si>
    <t>11:16</t>
  </si>
  <si>
    <t>17:27</t>
  </si>
  <si>
    <t>10:24</t>
  </si>
  <si>
    <t>20:09</t>
  </si>
  <si>
    <t>19:35</t>
  </si>
  <si>
    <t>16:48</t>
  </si>
  <si>
    <t>21:00</t>
  </si>
  <si>
    <t>17:23</t>
  </si>
  <si>
    <t>15:14</t>
  </si>
  <si>
    <t>20:41</t>
  </si>
  <si>
    <t>12:49</t>
  </si>
  <si>
    <t>11:25</t>
  </si>
  <si>
    <t>16:25</t>
  </si>
  <si>
    <t>14:56</t>
  </si>
  <si>
    <t>9:27</t>
  </si>
  <si>
    <t>9:53</t>
  </si>
  <si>
    <t>12:38</t>
  </si>
  <si>
    <t>9:23</t>
  </si>
  <si>
    <t>10:56</t>
  </si>
  <si>
    <t>18:15</t>
  </si>
  <si>
    <t>19:17</t>
  </si>
  <si>
    <t>15:08</t>
  </si>
  <si>
    <t>11:26</t>
  </si>
  <si>
    <t>15:42</t>
  </si>
  <si>
    <t>9:30</t>
  </si>
  <si>
    <t>20:33</t>
  </si>
  <si>
    <t>9:09</t>
  </si>
  <si>
    <t>20:24</t>
  </si>
  <si>
    <t>20:32</t>
  </si>
  <si>
    <t>15:06</t>
  </si>
  <si>
    <t>9:04</t>
  </si>
  <si>
    <t>11:18</t>
  </si>
  <si>
    <t>17:31</t>
  </si>
  <si>
    <t>20:18</t>
  </si>
  <si>
    <t>13:38</t>
  </si>
  <si>
    <t>20:57</t>
  </si>
  <si>
    <t>12:37</t>
  </si>
  <si>
    <t>20:06</t>
  </si>
  <si>
    <t>15:25</t>
  </si>
  <si>
    <t>15:34</t>
  </si>
  <si>
    <t>13:55</t>
  </si>
  <si>
    <t>14:54</t>
  </si>
  <si>
    <t>13:18</t>
  </si>
  <si>
    <t>12:50</t>
  </si>
  <si>
    <t>21:10</t>
  </si>
  <si>
    <t>12:31</t>
  </si>
  <si>
    <t>12:44</t>
  </si>
  <si>
    <t>14:25</t>
  </si>
  <si>
    <t>14:04</t>
  </si>
  <si>
    <t>11:55</t>
  </si>
  <si>
    <t>14:10</t>
  </si>
  <si>
    <t>21:03</t>
  </si>
  <si>
    <t>13:01</t>
  </si>
  <si>
    <t>9:31</t>
  </si>
  <si>
    <t>10:35</t>
  </si>
  <si>
    <t>13:58</t>
  </si>
  <si>
    <t>20:47</t>
  </si>
  <si>
    <t>18:51</t>
  </si>
  <si>
    <t>13:37</t>
  </si>
  <si>
    <t>10:39</t>
  </si>
  <si>
    <t>12:00</t>
  </si>
  <si>
    <t>9:47</t>
  </si>
  <si>
    <t>17:41</t>
  </si>
  <si>
    <t>21:01</t>
  </si>
  <si>
    <t>10:45</t>
  </si>
  <si>
    <t>12:34</t>
  </si>
  <si>
    <t>10:05</t>
  </si>
  <si>
    <t>16:56</t>
  </si>
  <si>
    <t>20:13</t>
  </si>
  <si>
    <t>17:06</t>
  </si>
  <si>
    <t>16:55</t>
  </si>
  <si>
    <t>9:10</t>
  </si>
  <si>
    <t>18:49</t>
  </si>
  <si>
    <t>12:04</t>
  </si>
  <si>
    <t>18:53</t>
  </si>
  <si>
    <t>11:43</t>
  </si>
  <si>
    <t>18:26</t>
  </si>
  <si>
    <t>20:08</t>
  </si>
  <si>
    <t>14:59</t>
  </si>
  <si>
    <t>13:57</t>
  </si>
  <si>
    <t>11:59</t>
  </si>
  <si>
    <t>14:14</t>
  </si>
  <si>
    <t>19:19</t>
  </si>
  <si>
    <t>9:36</t>
  </si>
  <si>
    <t>12:47</t>
  </si>
  <si>
    <t>16:47</t>
  </si>
  <si>
    <t>19:42</t>
  </si>
  <si>
    <t>9:28</t>
  </si>
  <si>
    <t>11:13</t>
  </si>
  <si>
    <t>11:42</t>
  </si>
  <si>
    <t>18:33</t>
  </si>
  <si>
    <t>20:34</t>
  </si>
  <si>
    <t>18:42</t>
  </si>
  <si>
    <t>11:53</t>
  </si>
  <si>
    <t>16:10</t>
  </si>
  <si>
    <t>12:59</t>
  </si>
  <si>
    <t>S3</t>
  </si>
  <si>
    <t>S1</t>
  </si>
  <si>
    <t>S9</t>
  </si>
  <si>
    <t>S4</t>
  </si>
  <si>
    <t>S6</t>
  </si>
  <si>
    <t>S5</t>
  </si>
  <si>
    <t>S7</t>
  </si>
  <si>
    <t>S8</t>
  </si>
  <si>
    <t>S2</t>
  </si>
  <si>
    <t>S10</t>
  </si>
  <si>
    <t>Store C</t>
  </si>
  <si>
    <t>Store B</t>
  </si>
  <si>
    <t>Store A</t>
  </si>
  <si>
    <t>Store D</t>
  </si>
  <si>
    <t>Tablet</t>
  </si>
  <si>
    <t>Printer</t>
  </si>
  <si>
    <t>Laptop</t>
  </si>
  <si>
    <t>Monitor</t>
  </si>
  <si>
    <t>Desk</t>
  </si>
  <si>
    <t>Chair</t>
  </si>
  <si>
    <t>Phone</t>
  </si>
  <si>
    <t>Gift Card</t>
  </si>
  <si>
    <t>Online</t>
  </si>
  <si>
    <t>Debit Card</t>
  </si>
  <si>
    <t>Cash</t>
  </si>
  <si>
    <t>Credit Card</t>
  </si>
  <si>
    <t>TX300000</t>
  </si>
  <si>
    <t>TX300001</t>
  </si>
  <si>
    <t>TX300002</t>
  </si>
  <si>
    <t>TX300003</t>
  </si>
  <si>
    <t>TX300004</t>
  </si>
  <si>
    <t>TX300005</t>
  </si>
  <si>
    <t>TX300006</t>
  </si>
  <si>
    <t>TX300007</t>
  </si>
  <si>
    <t>TX300008</t>
  </si>
  <si>
    <t>TX300009</t>
  </si>
  <si>
    <t>TX300010</t>
  </si>
  <si>
    <t>TX300011</t>
  </si>
  <si>
    <t>TX300012</t>
  </si>
  <si>
    <t>TX300013</t>
  </si>
  <si>
    <t>TX300014</t>
  </si>
  <si>
    <t>TX300015</t>
  </si>
  <si>
    <t>TX300016</t>
  </si>
  <si>
    <t>TX300017</t>
  </si>
  <si>
    <t>TX300018</t>
  </si>
  <si>
    <t>TX300019</t>
  </si>
  <si>
    <t>TX300020</t>
  </si>
  <si>
    <t>TX300021</t>
  </si>
  <si>
    <t>TX300022</t>
  </si>
  <si>
    <t>TX300023</t>
  </si>
  <si>
    <t>TX300024</t>
  </si>
  <si>
    <t>TX300025</t>
  </si>
  <si>
    <t>TX300026</t>
  </si>
  <si>
    <t>TX300027</t>
  </si>
  <si>
    <t>TX300028</t>
  </si>
  <si>
    <t>TX300029</t>
  </si>
  <si>
    <t>TX300030</t>
  </si>
  <si>
    <t>TX300031</t>
  </si>
  <si>
    <t>TX300032</t>
  </si>
  <si>
    <t>TX300033</t>
  </si>
  <si>
    <t>TX300034</t>
  </si>
  <si>
    <t>TX300035</t>
  </si>
  <si>
    <t>TX300036</t>
  </si>
  <si>
    <t>TX300037</t>
  </si>
  <si>
    <t>TX300038</t>
  </si>
  <si>
    <t>TX300039</t>
  </si>
  <si>
    <t>TX300040</t>
  </si>
  <si>
    <t>TX300041</t>
  </si>
  <si>
    <t>TX300042</t>
  </si>
  <si>
    <t>TX300043</t>
  </si>
  <si>
    <t>TX300044</t>
  </si>
  <si>
    <t>TX300045</t>
  </si>
  <si>
    <t>TX300046</t>
  </si>
  <si>
    <t>TX300047</t>
  </si>
  <si>
    <t>TX300048</t>
  </si>
  <si>
    <t>TX300049</t>
  </si>
  <si>
    <t>TX300050</t>
  </si>
  <si>
    <t>TX300051</t>
  </si>
  <si>
    <t>TX300052</t>
  </si>
  <si>
    <t>TX300053</t>
  </si>
  <si>
    <t>TX300054</t>
  </si>
  <si>
    <t>TX300055</t>
  </si>
  <si>
    <t>TX300056</t>
  </si>
  <si>
    <t>TX300057</t>
  </si>
  <si>
    <t>TX300058</t>
  </si>
  <si>
    <t>TX300059</t>
  </si>
  <si>
    <t>TX300060</t>
  </si>
  <si>
    <t>TX300061</t>
  </si>
  <si>
    <t>TX300062</t>
  </si>
  <si>
    <t>TX300063</t>
  </si>
  <si>
    <t>TX300064</t>
  </si>
  <si>
    <t>TX300065</t>
  </si>
  <si>
    <t>TX300066</t>
  </si>
  <si>
    <t>TX300067</t>
  </si>
  <si>
    <t>TX300068</t>
  </si>
  <si>
    <t>TX300069</t>
  </si>
  <si>
    <t>TX300070</t>
  </si>
  <si>
    <t>TX300071</t>
  </si>
  <si>
    <t>TX300072</t>
  </si>
  <si>
    <t>TX300073</t>
  </si>
  <si>
    <t>TX300074</t>
  </si>
  <si>
    <t>TX300075</t>
  </si>
  <si>
    <t>TX300076</t>
  </si>
  <si>
    <t>TX300077</t>
  </si>
  <si>
    <t>TX300078</t>
  </si>
  <si>
    <t>TX300079</t>
  </si>
  <si>
    <t>TX300080</t>
  </si>
  <si>
    <t>TX300081</t>
  </si>
  <si>
    <t>TX300082</t>
  </si>
  <si>
    <t>TX300083</t>
  </si>
  <si>
    <t>TX300084</t>
  </si>
  <si>
    <t>TX300085</t>
  </si>
  <si>
    <t>TX300086</t>
  </si>
  <si>
    <t>TX300087</t>
  </si>
  <si>
    <t>TX300088</t>
  </si>
  <si>
    <t>TX300089</t>
  </si>
  <si>
    <t>TX300090</t>
  </si>
  <si>
    <t>TX300091</t>
  </si>
  <si>
    <t>TX300092</t>
  </si>
  <si>
    <t>TX300093</t>
  </si>
  <si>
    <t>TX300094</t>
  </si>
  <si>
    <t>TX300095</t>
  </si>
  <si>
    <t>TX300096</t>
  </si>
  <si>
    <t>TX300097</t>
  </si>
  <si>
    <t>TX300098</t>
  </si>
  <si>
    <t>TX300099</t>
  </si>
  <si>
    <t>TX300100</t>
  </si>
  <si>
    <t>TX300101</t>
  </si>
  <si>
    <t>TX300102</t>
  </si>
  <si>
    <t>TX300103</t>
  </si>
  <si>
    <t>TX300104</t>
  </si>
  <si>
    <t>TX300105</t>
  </si>
  <si>
    <t>TX300106</t>
  </si>
  <si>
    <t>TX300107</t>
  </si>
  <si>
    <t>TX300108</t>
  </si>
  <si>
    <t>TX300109</t>
  </si>
  <si>
    <t>TX300110</t>
  </si>
  <si>
    <t>TX300111</t>
  </si>
  <si>
    <t>TX300112</t>
  </si>
  <si>
    <t>TX300113</t>
  </si>
  <si>
    <t>TX300114</t>
  </si>
  <si>
    <t>TX300115</t>
  </si>
  <si>
    <t>TX300116</t>
  </si>
  <si>
    <t>TX300117</t>
  </si>
  <si>
    <t>TX300118</t>
  </si>
  <si>
    <t>TX300119</t>
  </si>
  <si>
    <t>TX300120</t>
  </si>
  <si>
    <t>TX300121</t>
  </si>
  <si>
    <t>TX300122</t>
  </si>
  <si>
    <t>TX300123</t>
  </si>
  <si>
    <t>TX300124</t>
  </si>
  <si>
    <t>TX300125</t>
  </si>
  <si>
    <t>TX300126</t>
  </si>
  <si>
    <t>TX300127</t>
  </si>
  <si>
    <t>TX300128</t>
  </si>
  <si>
    <t>TX300129</t>
  </si>
  <si>
    <t>TX300130</t>
  </si>
  <si>
    <t>TX300131</t>
  </si>
  <si>
    <t>TX300132</t>
  </si>
  <si>
    <t>TX300133</t>
  </si>
  <si>
    <t>TX300134</t>
  </si>
  <si>
    <t>TX300135</t>
  </si>
  <si>
    <t>TX300136</t>
  </si>
  <si>
    <t>TX300137</t>
  </si>
  <si>
    <t>TX300138</t>
  </si>
  <si>
    <t>TX300139</t>
  </si>
  <si>
    <t>TX300140</t>
  </si>
  <si>
    <t>TX300141</t>
  </si>
  <si>
    <t>TX300142</t>
  </si>
  <si>
    <t>TX300143</t>
  </si>
  <si>
    <t>TX300144</t>
  </si>
  <si>
    <t>TX300145</t>
  </si>
  <si>
    <t>TX300146</t>
  </si>
  <si>
    <t>TX300147</t>
  </si>
  <si>
    <t>TX300148</t>
  </si>
  <si>
    <t>TX300149</t>
  </si>
  <si>
    <t>TX300150</t>
  </si>
  <si>
    <t>TX300151</t>
  </si>
  <si>
    <t>TX300152</t>
  </si>
  <si>
    <t>TX300153</t>
  </si>
  <si>
    <t>TX300154</t>
  </si>
  <si>
    <t>TX300155</t>
  </si>
  <si>
    <t>TX300156</t>
  </si>
  <si>
    <t>TX300157</t>
  </si>
  <si>
    <t>TX300158</t>
  </si>
  <si>
    <t>TX300159</t>
  </si>
  <si>
    <t>TX300160</t>
  </si>
  <si>
    <t>TX300161</t>
  </si>
  <si>
    <t>TX300162</t>
  </si>
  <si>
    <t>TX300163</t>
  </si>
  <si>
    <t>TX300164</t>
  </si>
  <si>
    <t>TX300165</t>
  </si>
  <si>
    <t>TX300166</t>
  </si>
  <si>
    <t>TX300167</t>
  </si>
  <si>
    <t>TX300168</t>
  </si>
  <si>
    <t>TX300169</t>
  </si>
  <si>
    <t>TX300170</t>
  </si>
  <si>
    <t>TX300171</t>
  </si>
  <si>
    <t>TX300172</t>
  </si>
  <si>
    <t>TX300173</t>
  </si>
  <si>
    <t>TX300174</t>
  </si>
  <si>
    <t>TX300175</t>
  </si>
  <si>
    <t>TX300176</t>
  </si>
  <si>
    <t>TX300177</t>
  </si>
  <si>
    <t>TX300178</t>
  </si>
  <si>
    <t>TX300179</t>
  </si>
  <si>
    <t>TX300180</t>
  </si>
  <si>
    <t>TX300181</t>
  </si>
  <si>
    <t>TX300182</t>
  </si>
  <si>
    <t>TX300183</t>
  </si>
  <si>
    <t>TX300184</t>
  </si>
  <si>
    <t>TX300185</t>
  </si>
  <si>
    <t>TX300186</t>
  </si>
  <si>
    <t>TX300187</t>
  </si>
  <si>
    <t>TX300188</t>
  </si>
  <si>
    <t>TX300189</t>
  </si>
  <si>
    <t>TX300190</t>
  </si>
  <si>
    <t>TX300191</t>
  </si>
  <si>
    <t>TX300192</t>
  </si>
  <si>
    <t>TX300193</t>
  </si>
  <si>
    <t>TX300194</t>
  </si>
  <si>
    <t>TX300195</t>
  </si>
  <si>
    <t>TX300196</t>
  </si>
  <si>
    <t>TX300197</t>
  </si>
  <si>
    <t>TX300198</t>
  </si>
  <si>
    <t>C1</t>
  </si>
  <si>
    <t>C5</t>
  </si>
  <si>
    <t>C3</t>
  </si>
  <si>
    <t>C2</t>
  </si>
  <si>
    <t>C4</t>
  </si>
  <si>
    <t>Noah</t>
  </si>
  <si>
    <t>Liam</t>
  </si>
  <si>
    <t>Mia</t>
  </si>
  <si>
    <t>Olivia</t>
  </si>
  <si>
    <t>Afternoon</t>
  </si>
  <si>
    <t>Evening</t>
  </si>
  <si>
    <t>Morning</t>
  </si>
  <si>
    <t>Saturday</t>
  </si>
  <si>
    <t>Thursday</t>
  </si>
  <si>
    <t>Friday</t>
  </si>
  <si>
    <t>Monday</t>
  </si>
  <si>
    <t>Sunday</t>
  </si>
  <si>
    <t>Wednesday</t>
  </si>
  <si>
    <t>Tuesday</t>
  </si>
  <si>
    <t>unique cashier</t>
  </si>
  <si>
    <t>manager</t>
  </si>
  <si>
    <t>count</t>
  </si>
  <si>
    <t>sum of total</t>
  </si>
  <si>
    <t>item</t>
  </si>
  <si>
    <t>price</t>
  </si>
  <si>
    <t>per unit</t>
  </si>
  <si>
    <t>time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</si>
</sst>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6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1"/>
    <xf numFmtId="0" fontId="1" fillId="0" borderId="2" xfId="0" applyFont="1" applyFill="1" applyBorder="1" applyAlignment="1">
      <alignment horizontal="center" vertical="top"/>
    </xf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T201"/>
  <sheetViews>
    <sheetView tabSelected="1" topLeftCell="A174" workbookViewId="0">
      <selection activeCell="H194" sqref="H194"/>
    </sheetView>
  </sheetViews>
  <sheetFormatPr defaultRowHeight="14.4" x14ac:dyDescent="0.3"/>
  <cols>
    <col min="6" max="6" width="12.6640625" bestFit="1" customWidth="1"/>
    <col min="9" max="9" width="13.109375" bestFit="1" customWidth="1"/>
    <col min="10" max="10" width="10.33203125" bestFit="1" customWidth="1"/>
    <col min="15" max="15" width="12.6640625" bestFit="1" customWidth="1"/>
    <col min="19" max="19" width="10.88671875" bestFit="1" customWidth="1"/>
  </cols>
  <sheetData>
    <row r="1" spans="1:20" x14ac:dyDescent="0.3">
      <c r="A1" s="1" t="s">
        <v>440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3" t="s">
        <v>439</v>
      </c>
    </row>
    <row r="2" spans="1:20" x14ac:dyDescent="0.3">
      <c r="A2" t="s">
        <v>11</v>
      </c>
      <c r="B2" t="s">
        <v>189</v>
      </c>
      <c r="C2" t="s">
        <v>199</v>
      </c>
      <c r="D2" t="s">
        <v>203</v>
      </c>
      <c r="E2">
        <v>3</v>
      </c>
      <c r="F2" t="s">
        <v>210</v>
      </c>
      <c r="G2" t="s">
        <v>215</v>
      </c>
      <c r="H2" t="s">
        <v>414</v>
      </c>
      <c r="I2" t="s">
        <v>419</v>
      </c>
      <c r="J2" t="s">
        <v>423</v>
      </c>
      <c r="K2" t="s">
        <v>426</v>
      </c>
      <c r="L2">
        <f>PRODUCT(M2,E2)</f>
        <v>1092.6600000000001</v>
      </c>
      <c r="M2" s="4">
        <v>364.22</v>
      </c>
    </row>
    <row r="3" spans="1:20" x14ac:dyDescent="0.3">
      <c r="A3" t="s">
        <v>12</v>
      </c>
      <c r="B3" t="s">
        <v>190</v>
      </c>
      <c r="C3" t="s">
        <v>200</v>
      </c>
      <c r="D3" t="s">
        <v>204</v>
      </c>
      <c r="E3">
        <v>9</v>
      </c>
      <c r="F3" t="s">
        <v>211</v>
      </c>
      <c r="G3" t="s">
        <v>216</v>
      </c>
      <c r="H3" t="s">
        <v>415</v>
      </c>
      <c r="I3" t="s">
        <v>420</v>
      </c>
      <c r="J3" t="s">
        <v>423</v>
      </c>
      <c r="K3" t="s">
        <v>427</v>
      </c>
      <c r="L3" s="4">
        <f t="shared" ref="L3:L66" si="0">PRODUCT(M3,E3)</f>
        <v>3462.66</v>
      </c>
      <c r="M3" s="4">
        <v>384.74</v>
      </c>
    </row>
    <row r="4" spans="1:20" x14ac:dyDescent="0.3">
      <c r="A4" t="s">
        <v>13</v>
      </c>
      <c r="B4" t="s">
        <v>191</v>
      </c>
      <c r="C4" t="s">
        <v>200</v>
      </c>
      <c r="D4" t="s">
        <v>205</v>
      </c>
      <c r="E4">
        <v>9</v>
      </c>
      <c r="F4" t="s">
        <v>212</v>
      </c>
      <c r="G4" t="s">
        <v>217</v>
      </c>
      <c r="H4" t="s">
        <v>416</v>
      </c>
      <c r="I4" t="s">
        <v>420</v>
      </c>
      <c r="J4" t="s">
        <v>424</v>
      </c>
      <c r="K4" t="s">
        <v>428</v>
      </c>
      <c r="L4" s="4">
        <f t="shared" si="0"/>
        <v>3580.2000000000003</v>
      </c>
      <c r="M4" s="4">
        <v>397.8</v>
      </c>
    </row>
    <row r="5" spans="1:20" x14ac:dyDescent="0.3">
      <c r="A5" t="s">
        <v>14</v>
      </c>
      <c r="B5" t="s">
        <v>191</v>
      </c>
      <c r="C5" t="s">
        <v>199</v>
      </c>
      <c r="D5" t="s">
        <v>206</v>
      </c>
      <c r="E5">
        <v>7</v>
      </c>
      <c r="F5" t="s">
        <v>211</v>
      </c>
      <c r="G5" t="s">
        <v>218</v>
      </c>
      <c r="H5" t="s">
        <v>417</v>
      </c>
      <c r="I5" t="s">
        <v>421</v>
      </c>
      <c r="J5" t="s">
        <v>423</v>
      </c>
      <c r="K5" t="s">
        <v>426</v>
      </c>
      <c r="L5" s="4">
        <f t="shared" si="0"/>
        <v>561.89</v>
      </c>
      <c r="M5" s="4">
        <v>80.27</v>
      </c>
    </row>
    <row r="6" spans="1:20" x14ac:dyDescent="0.3">
      <c r="A6" t="s">
        <v>15</v>
      </c>
      <c r="B6" t="s">
        <v>191</v>
      </c>
      <c r="C6" t="s">
        <v>201</v>
      </c>
      <c r="D6" t="s">
        <v>206</v>
      </c>
      <c r="E6">
        <v>10</v>
      </c>
      <c r="F6" t="s">
        <v>210</v>
      </c>
      <c r="G6" t="s">
        <v>219</v>
      </c>
      <c r="H6" t="s">
        <v>414</v>
      </c>
      <c r="I6" t="s">
        <v>419</v>
      </c>
      <c r="J6" t="s">
        <v>424</v>
      </c>
      <c r="K6" t="s">
        <v>429</v>
      </c>
      <c r="L6" s="4">
        <f t="shared" si="0"/>
        <v>2140.3000000000002</v>
      </c>
      <c r="M6" s="4">
        <v>214.03</v>
      </c>
      <c r="O6" t="s">
        <v>433</v>
      </c>
      <c r="P6" t="s">
        <v>434</v>
      </c>
      <c r="Q6" t="s">
        <v>435</v>
      </c>
      <c r="R6" t="s">
        <v>437</v>
      </c>
      <c r="S6" t="s">
        <v>436</v>
      </c>
      <c r="T6" t="s">
        <v>438</v>
      </c>
    </row>
    <row r="7" spans="1:20" x14ac:dyDescent="0.3">
      <c r="A7" t="s">
        <v>16</v>
      </c>
      <c r="B7" t="s">
        <v>192</v>
      </c>
      <c r="C7" t="s">
        <v>200</v>
      </c>
      <c r="D7" t="s">
        <v>207</v>
      </c>
      <c r="E7">
        <v>7</v>
      </c>
      <c r="F7" t="s">
        <v>213</v>
      </c>
      <c r="G7" t="s">
        <v>220</v>
      </c>
      <c r="H7" t="s">
        <v>415</v>
      </c>
      <c r="I7" t="s">
        <v>421</v>
      </c>
      <c r="J7" t="s">
        <v>424</v>
      </c>
      <c r="K7" t="s">
        <v>427</v>
      </c>
      <c r="L7" s="4">
        <f t="shared" si="0"/>
        <v>359.59</v>
      </c>
      <c r="M7" s="4">
        <v>51.37</v>
      </c>
      <c r="O7" t="s">
        <v>414</v>
      </c>
      <c r="P7" t="s">
        <v>419</v>
      </c>
      <c r="Q7">
        <f>COUNTIF(I2:I200,P7)</f>
        <v>53</v>
      </c>
      <c r="R7" t="s">
        <v>203</v>
      </c>
      <c r="S7">
        <f>SUMIF(D2:D200,R7,E2:E200)</f>
        <v>83</v>
      </c>
      <c r="T7">
        <v>1000</v>
      </c>
    </row>
    <row r="8" spans="1:20" x14ac:dyDescent="0.3">
      <c r="A8" t="s">
        <v>17</v>
      </c>
      <c r="B8" t="s">
        <v>193</v>
      </c>
      <c r="C8" t="s">
        <v>201</v>
      </c>
      <c r="D8" t="s">
        <v>206</v>
      </c>
      <c r="E8">
        <v>9</v>
      </c>
      <c r="F8" t="s">
        <v>212</v>
      </c>
      <c r="G8" t="s">
        <v>221</v>
      </c>
      <c r="H8" t="s">
        <v>418</v>
      </c>
      <c r="I8" t="s">
        <v>422</v>
      </c>
      <c r="J8" t="s">
        <v>425</v>
      </c>
      <c r="K8" t="s">
        <v>430</v>
      </c>
      <c r="L8" s="4">
        <f t="shared" si="0"/>
        <v>74.88</v>
      </c>
      <c r="M8" s="4">
        <v>8.32</v>
      </c>
      <c r="O8" t="s">
        <v>415</v>
      </c>
      <c r="P8" t="s">
        <v>420</v>
      </c>
      <c r="Q8">
        <f t="shared" ref="Q8:Q10" si="1">COUNTIF(I3:I201,P8)</f>
        <v>46</v>
      </c>
      <c r="R8" t="s">
        <v>204</v>
      </c>
      <c r="S8">
        <f>SUMIF(D3:D201,R8,E3:E201)</f>
        <v>171</v>
      </c>
      <c r="T8">
        <v>5000</v>
      </c>
    </row>
    <row r="9" spans="1:20" x14ac:dyDescent="0.3">
      <c r="A9" t="s">
        <v>18</v>
      </c>
      <c r="B9" t="s">
        <v>194</v>
      </c>
      <c r="C9" t="s">
        <v>200</v>
      </c>
      <c r="D9" t="s">
        <v>208</v>
      </c>
      <c r="E9">
        <v>2</v>
      </c>
      <c r="F9" t="s">
        <v>213</v>
      </c>
      <c r="G9" t="s">
        <v>222</v>
      </c>
      <c r="H9" t="s">
        <v>416</v>
      </c>
      <c r="I9" t="s">
        <v>421</v>
      </c>
      <c r="J9" t="s">
        <v>424</v>
      </c>
      <c r="K9" t="s">
        <v>430</v>
      </c>
      <c r="L9" s="4">
        <f t="shared" si="0"/>
        <v>377.86</v>
      </c>
      <c r="M9" s="4">
        <v>188.93</v>
      </c>
      <c r="O9" t="s">
        <v>416</v>
      </c>
      <c r="P9" t="s">
        <v>421</v>
      </c>
      <c r="Q9">
        <f t="shared" si="1"/>
        <v>47</v>
      </c>
      <c r="R9" t="s">
        <v>205</v>
      </c>
      <c r="S9">
        <f>SUMIF(D4:D202,R9,E4:E202)</f>
        <v>154</v>
      </c>
      <c r="T9">
        <v>3400</v>
      </c>
    </row>
    <row r="10" spans="1:20" x14ac:dyDescent="0.3">
      <c r="A10" t="s">
        <v>19</v>
      </c>
      <c r="B10" t="s">
        <v>192</v>
      </c>
      <c r="C10" t="s">
        <v>201</v>
      </c>
      <c r="D10" t="s">
        <v>209</v>
      </c>
      <c r="E10">
        <v>1</v>
      </c>
      <c r="F10" t="s">
        <v>214</v>
      </c>
      <c r="G10" t="s">
        <v>223</v>
      </c>
      <c r="H10" t="s">
        <v>415</v>
      </c>
      <c r="I10" t="s">
        <v>421</v>
      </c>
      <c r="J10" t="s">
        <v>423</v>
      </c>
      <c r="K10" t="s">
        <v>428</v>
      </c>
      <c r="L10" s="4">
        <f t="shared" si="0"/>
        <v>202.95</v>
      </c>
      <c r="M10" s="4">
        <v>202.95</v>
      </c>
      <c r="N10" s="2"/>
      <c r="O10" t="s">
        <v>417</v>
      </c>
      <c r="P10" t="s">
        <v>422</v>
      </c>
      <c r="Q10">
        <f t="shared" si="1"/>
        <v>53</v>
      </c>
      <c r="R10" t="s">
        <v>206</v>
      </c>
      <c r="S10">
        <f>SUMIF(D5:D203,R10,E5:E203)</f>
        <v>185</v>
      </c>
      <c r="T10">
        <v>5000</v>
      </c>
    </row>
    <row r="11" spans="1:20" x14ac:dyDescent="0.3">
      <c r="A11" t="s">
        <v>20</v>
      </c>
      <c r="B11" t="s">
        <v>194</v>
      </c>
      <c r="C11" t="s">
        <v>199</v>
      </c>
      <c r="D11" t="s">
        <v>208</v>
      </c>
      <c r="E11">
        <v>5</v>
      </c>
      <c r="F11" t="s">
        <v>211</v>
      </c>
      <c r="G11" t="s">
        <v>224</v>
      </c>
      <c r="H11" t="s">
        <v>417</v>
      </c>
      <c r="I11" t="s">
        <v>419</v>
      </c>
      <c r="J11" t="s">
        <v>424</v>
      </c>
      <c r="K11" t="s">
        <v>428</v>
      </c>
      <c r="L11" s="4">
        <f t="shared" si="0"/>
        <v>710.19999999999993</v>
      </c>
      <c r="M11" s="4">
        <v>142.04</v>
      </c>
      <c r="O11" t="s">
        <v>418</v>
      </c>
      <c r="R11" t="s">
        <v>207</v>
      </c>
      <c r="S11">
        <f>SUMIF(D6:D204,R11,E6:E204)</f>
        <v>176</v>
      </c>
      <c r="T11">
        <v>1400</v>
      </c>
    </row>
    <row r="12" spans="1:20" x14ac:dyDescent="0.3">
      <c r="A12" t="s">
        <v>21</v>
      </c>
      <c r="B12" t="s">
        <v>195</v>
      </c>
      <c r="C12" t="s">
        <v>202</v>
      </c>
      <c r="D12" t="s">
        <v>206</v>
      </c>
      <c r="E12">
        <v>8</v>
      </c>
      <c r="F12" t="s">
        <v>211</v>
      </c>
      <c r="G12" t="s">
        <v>225</v>
      </c>
      <c r="H12" t="s">
        <v>414</v>
      </c>
      <c r="I12" t="s">
        <v>420</v>
      </c>
      <c r="J12" t="s">
        <v>424</v>
      </c>
      <c r="K12" t="s">
        <v>431</v>
      </c>
      <c r="L12" s="4">
        <f t="shared" si="0"/>
        <v>780.16</v>
      </c>
      <c r="M12" s="4">
        <v>97.52</v>
      </c>
      <c r="R12" t="s">
        <v>208</v>
      </c>
      <c r="S12">
        <f>SUMIF(D7:D205,R12,E7:E205)</f>
        <v>112</v>
      </c>
      <c r="T12">
        <v>900</v>
      </c>
    </row>
    <row r="13" spans="1:20" x14ac:dyDescent="0.3">
      <c r="A13" t="s">
        <v>22</v>
      </c>
      <c r="B13" t="s">
        <v>196</v>
      </c>
      <c r="C13" t="s">
        <v>199</v>
      </c>
      <c r="D13" t="s">
        <v>207</v>
      </c>
      <c r="E13">
        <v>2</v>
      </c>
      <c r="F13" t="s">
        <v>211</v>
      </c>
      <c r="G13" t="s">
        <v>226</v>
      </c>
      <c r="H13" t="s">
        <v>414</v>
      </c>
      <c r="I13" t="s">
        <v>422</v>
      </c>
      <c r="J13" t="s">
        <v>423</v>
      </c>
      <c r="K13" t="s">
        <v>428</v>
      </c>
      <c r="L13" s="4">
        <f t="shared" si="0"/>
        <v>461.92</v>
      </c>
      <c r="M13" s="4">
        <v>230.96</v>
      </c>
      <c r="R13" t="s">
        <v>209</v>
      </c>
      <c r="S13">
        <f>SUMIF(D8:D206,R13,E8:E206)</f>
        <v>209</v>
      </c>
      <c r="T13">
        <v>4600</v>
      </c>
    </row>
    <row r="14" spans="1:20" x14ac:dyDescent="0.3">
      <c r="A14" t="s">
        <v>23</v>
      </c>
      <c r="B14" t="s">
        <v>194</v>
      </c>
      <c r="C14" t="s">
        <v>200</v>
      </c>
      <c r="D14" t="s">
        <v>209</v>
      </c>
      <c r="E14">
        <v>8</v>
      </c>
      <c r="F14" t="s">
        <v>210</v>
      </c>
      <c r="G14" t="s">
        <v>227</v>
      </c>
      <c r="H14" t="s">
        <v>418</v>
      </c>
      <c r="I14" t="s">
        <v>422</v>
      </c>
      <c r="J14" t="s">
        <v>424</v>
      </c>
      <c r="K14" t="s">
        <v>428</v>
      </c>
      <c r="L14" s="4">
        <f t="shared" si="0"/>
        <v>1610.8</v>
      </c>
      <c r="M14" s="4">
        <v>201.35</v>
      </c>
      <c r="Q14">
        <f>SUM(Q7:Q13)</f>
        <v>199</v>
      </c>
      <c r="S14">
        <f>SUM(S7:S13)</f>
        <v>1090</v>
      </c>
      <c r="T14">
        <f>SUM(T7:T13)</f>
        <v>21300</v>
      </c>
    </row>
    <row r="15" spans="1:20" x14ac:dyDescent="0.3">
      <c r="A15" t="s">
        <v>24</v>
      </c>
      <c r="B15" t="s">
        <v>190</v>
      </c>
      <c r="C15" t="s">
        <v>199</v>
      </c>
      <c r="D15" t="s">
        <v>205</v>
      </c>
      <c r="E15">
        <v>10</v>
      </c>
      <c r="F15" t="s">
        <v>212</v>
      </c>
      <c r="G15" t="s">
        <v>228</v>
      </c>
      <c r="H15" t="s">
        <v>414</v>
      </c>
      <c r="I15" t="s">
        <v>420</v>
      </c>
      <c r="J15" t="s">
        <v>423</v>
      </c>
      <c r="K15" t="s">
        <v>432</v>
      </c>
      <c r="L15" s="4">
        <f t="shared" si="0"/>
        <v>409.6</v>
      </c>
      <c r="M15" s="4">
        <v>40.96</v>
      </c>
    </row>
    <row r="16" spans="1:20" x14ac:dyDescent="0.3">
      <c r="A16" t="s">
        <v>25</v>
      </c>
      <c r="B16" t="s">
        <v>189</v>
      </c>
      <c r="C16" t="s">
        <v>201</v>
      </c>
      <c r="D16" t="s">
        <v>206</v>
      </c>
      <c r="E16">
        <v>1</v>
      </c>
      <c r="F16" t="s">
        <v>214</v>
      </c>
      <c r="G16" t="s">
        <v>229</v>
      </c>
      <c r="H16" t="s">
        <v>416</v>
      </c>
      <c r="I16" t="s">
        <v>422</v>
      </c>
      <c r="J16" t="s">
        <v>425</v>
      </c>
      <c r="K16" t="s">
        <v>428</v>
      </c>
      <c r="L16" s="4">
        <f t="shared" si="0"/>
        <v>88.74</v>
      </c>
      <c r="M16" s="4">
        <v>88.74</v>
      </c>
    </row>
    <row r="17" spans="1:13" x14ac:dyDescent="0.3">
      <c r="A17" t="s">
        <v>26</v>
      </c>
      <c r="B17" t="s">
        <v>195</v>
      </c>
      <c r="C17" t="s">
        <v>202</v>
      </c>
      <c r="D17" t="s">
        <v>204</v>
      </c>
      <c r="E17">
        <v>5</v>
      </c>
      <c r="F17" t="s">
        <v>212</v>
      </c>
      <c r="G17" t="s">
        <v>230</v>
      </c>
      <c r="H17" t="s">
        <v>418</v>
      </c>
      <c r="I17" t="s">
        <v>420</v>
      </c>
      <c r="J17" t="s">
        <v>424</v>
      </c>
      <c r="K17" t="s">
        <v>427</v>
      </c>
      <c r="L17" s="4">
        <f t="shared" si="0"/>
        <v>1810.1499999999999</v>
      </c>
      <c r="M17" s="4">
        <v>362.03</v>
      </c>
    </row>
    <row r="18" spans="1:13" x14ac:dyDescent="0.3">
      <c r="A18" t="s">
        <v>27</v>
      </c>
      <c r="B18" t="s">
        <v>197</v>
      </c>
      <c r="C18" t="s">
        <v>202</v>
      </c>
      <c r="D18" t="s">
        <v>208</v>
      </c>
      <c r="E18">
        <v>3</v>
      </c>
      <c r="F18" t="s">
        <v>212</v>
      </c>
      <c r="G18" t="s">
        <v>231</v>
      </c>
      <c r="H18" t="s">
        <v>416</v>
      </c>
      <c r="I18" t="s">
        <v>420</v>
      </c>
      <c r="J18" t="s">
        <v>425</v>
      </c>
      <c r="K18" t="s">
        <v>430</v>
      </c>
      <c r="L18" s="4">
        <f t="shared" si="0"/>
        <v>80.34</v>
      </c>
      <c r="M18" s="4">
        <v>26.78</v>
      </c>
    </row>
    <row r="19" spans="1:13" x14ac:dyDescent="0.3">
      <c r="A19" t="s">
        <v>28</v>
      </c>
      <c r="B19" t="s">
        <v>197</v>
      </c>
      <c r="C19" t="s">
        <v>200</v>
      </c>
      <c r="D19" t="s">
        <v>203</v>
      </c>
      <c r="E19">
        <v>3</v>
      </c>
      <c r="F19" t="s">
        <v>214</v>
      </c>
      <c r="G19" t="s">
        <v>232</v>
      </c>
      <c r="H19" t="s">
        <v>418</v>
      </c>
      <c r="I19" t="s">
        <v>422</v>
      </c>
      <c r="J19" t="s">
        <v>424</v>
      </c>
      <c r="K19" t="s">
        <v>426</v>
      </c>
      <c r="L19" s="4">
        <f t="shared" si="0"/>
        <v>35.849999999999994</v>
      </c>
      <c r="M19" s="4">
        <v>11.95</v>
      </c>
    </row>
    <row r="20" spans="1:13" x14ac:dyDescent="0.3">
      <c r="A20" t="s">
        <v>29</v>
      </c>
      <c r="B20" t="s">
        <v>194</v>
      </c>
      <c r="C20" t="s">
        <v>202</v>
      </c>
      <c r="D20" t="s">
        <v>207</v>
      </c>
      <c r="E20">
        <v>3</v>
      </c>
      <c r="F20" t="s">
        <v>214</v>
      </c>
      <c r="G20" t="s">
        <v>233</v>
      </c>
      <c r="H20" t="s">
        <v>418</v>
      </c>
      <c r="I20" t="s">
        <v>420</v>
      </c>
      <c r="J20" t="s">
        <v>423</v>
      </c>
      <c r="K20" t="s">
        <v>428</v>
      </c>
      <c r="L20" s="4">
        <f t="shared" si="0"/>
        <v>801.18000000000006</v>
      </c>
      <c r="M20" s="4">
        <v>267.06</v>
      </c>
    </row>
    <row r="21" spans="1:13" x14ac:dyDescent="0.3">
      <c r="A21" t="s">
        <v>30</v>
      </c>
      <c r="B21" t="s">
        <v>196</v>
      </c>
      <c r="C21" t="s">
        <v>201</v>
      </c>
      <c r="D21" t="s">
        <v>207</v>
      </c>
      <c r="E21">
        <v>3</v>
      </c>
      <c r="F21" t="s">
        <v>212</v>
      </c>
      <c r="G21" t="s">
        <v>234</v>
      </c>
      <c r="H21" t="s">
        <v>415</v>
      </c>
      <c r="I21" t="s">
        <v>421</v>
      </c>
      <c r="J21" t="s">
        <v>424</v>
      </c>
      <c r="K21" t="s">
        <v>431</v>
      </c>
      <c r="L21" s="4">
        <f t="shared" si="0"/>
        <v>891.42</v>
      </c>
      <c r="M21" s="4">
        <v>297.14</v>
      </c>
    </row>
    <row r="22" spans="1:13" x14ac:dyDescent="0.3">
      <c r="A22" t="s">
        <v>31</v>
      </c>
      <c r="B22" t="s">
        <v>194</v>
      </c>
      <c r="C22" t="s">
        <v>202</v>
      </c>
      <c r="D22" t="s">
        <v>204</v>
      </c>
      <c r="E22">
        <v>7</v>
      </c>
      <c r="F22" t="s">
        <v>213</v>
      </c>
      <c r="G22" t="s">
        <v>235</v>
      </c>
      <c r="H22" t="s">
        <v>418</v>
      </c>
      <c r="I22" t="s">
        <v>419</v>
      </c>
      <c r="J22" t="s">
        <v>425</v>
      </c>
      <c r="K22" t="s">
        <v>429</v>
      </c>
      <c r="L22" s="4">
        <f t="shared" si="0"/>
        <v>1442.28</v>
      </c>
      <c r="M22" s="4">
        <v>206.04</v>
      </c>
    </row>
    <row r="23" spans="1:13" x14ac:dyDescent="0.3">
      <c r="A23" t="s">
        <v>32</v>
      </c>
      <c r="B23" t="s">
        <v>198</v>
      </c>
      <c r="C23" t="s">
        <v>201</v>
      </c>
      <c r="D23" t="s">
        <v>206</v>
      </c>
      <c r="E23">
        <v>8</v>
      </c>
      <c r="F23" t="s">
        <v>210</v>
      </c>
      <c r="G23" t="s">
        <v>236</v>
      </c>
      <c r="H23" t="s">
        <v>417</v>
      </c>
      <c r="I23" t="s">
        <v>422</v>
      </c>
      <c r="J23" t="s">
        <v>423</v>
      </c>
      <c r="K23" t="s">
        <v>430</v>
      </c>
      <c r="L23" s="4">
        <f t="shared" si="0"/>
        <v>2319.92</v>
      </c>
      <c r="M23" s="4">
        <v>289.99</v>
      </c>
    </row>
    <row r="24" spans="1:13" x14ac:dyDescent="0.3">
      <c r="A24" t="s">
        <v>33</v>
      </c>
      <c r="B24" t="s">
        <v>191</v>
      </c>
      <c r="C24" t="s">
        <v>199</v>
      </c>
      <c r="D24" t="s">
        <v>204</v>
      </c>
      <c r="E24">
        <v>1</v>
      </c>
      <c r="F24" t="s">
        <v>211</v>
      </c>
      <c r="G24" t="s">
        <v>237</v>
      </c>
      <c r="H24" t="s">
        <v>417</v>
      </c>
      <c r="I24" t="s">
        <v>420</v>
      </c>
      <c r="J24" t="s">
        <v>424</v>
      </c>
      <c r="K24" t="s">
        <v>429</v>
      </c>
      <c r="L24" s="4">
        <f t="shared" si="0"/>
        <v>78.56</v>
      </c>
      <c r="M24" s="4">
        <v>78.56</v>
      </c>
    </row>
    <row r="25" spans="1:13" x14ac:dyDescent="0.3">
      <c r="A25" t="s">
        <v>34</v>
      </c>
      <c r="B25" t="s">
        <v>190</v>
      </c>
      <c r="C25" t="s">
        <v>199</v>
      </c>
      <c r="D25" t="s">
        <v>209</v>
      </c>
      <c r="E25">
        <v>5</v>
      </c>
      <c r="F25" t="s">
        <v>211</v>
      </c>
      <c r="G25" t="s">
        <v>238</v>
      </c>
      <c r="H25" t="s">
        <v>415</v>
      </c>
      <c r="I25" t="s">
        <v>422</v>
      </c>
      <c r="J25" t="s">
        <v>424</v>
      </c>
      <c r="K25" t="s">
        <v>428</v>
      </c>
      <c r="L25" s="4">
        <f t="shared" si="0"/>
        <v>1708.4</v>
      </c>
      <c r="M25" s="4">
        <v>341.68</v>
      </c>
    </row>
    <row r="26" spans="1:13" x14ac:dyDescent="0.3">
      <c r="A26" t="s">
        <v>35</v>
      </c>
      <c r="B26" t="s">
        <v>195</v>
      </c>
      <c r="C26" t="s">
        <v>201</v>
      </c>
      <c r="D26" t="s">
        <v>204</v>
      </c>
      <c r="E26">
        <v>5</v>
      </c>
      <c r="F26" t="s">
        <v>213</v>
      </c>
      <c r="G26" t="s">
        <v>239</v>
      </c>
      <c r="H26" t="s">
        <v>417</v>
      </c>
      <c r="I26" t="s">
        <v>422</v>
      </c>
      <c r="J26" t="s">
        <v>425</v>
      </c>
      <c r="K26" t="s">
        <v>432</v>
      </c>
      <c r="L26" s="4">
        <f t="shared" si="0"/>
        <v>1737.25</v>
      </c>
      <c r="M26" s="4">
        <v>347.45</v>
      </c>
    </row>
    <row r="27" spans="1:13" x14ac:dyDescent="0.3">
      <c r="A27" t="s">
        <v>36</v>
      </c>
      <c r="B27" t="s">
        <v>193</v>
      </c>
      <c r="C27" t="s">
        <v>199</v>
      </c>
      <c r="D27" t="s">
        <v>205</v>
      </c>
      <c r="E27">
        <v>9</v>
      </c>
      <c r="F27" t="s">
        <v>211</v>
      </c>
      <c r="G27" t="s">
        <v>240</v>
      </c>
      <c r="H27" t="s">
        <v>416</v>
      </c>
      <c r="I27" t="s">
        <v>419</v>
      </c>
      <c r="J27" t="s">
        <v>424</v>
      </c>
      <c r="K27" t="s">
        <v>432</v>
      </c>
      <c r="L27" s="4">
        <f t="shared" si="0"/>
        <v>2238.84</v>
      </c>
      <c r="M27" s="4">
        <v>248.76</v>
      </c>
    </row>
    <row r="28" spans="1:13" x14ac:dyDescent="0.3">
      <c r="A28" t="s">
        <v>37</v>
      </c>
      <c r="B28" t="s">
        <v>197</v>
      </c>
      <c r="C28" t="s">
        <v>200</v>
      </c>
      <c r="D28" t="s">
        <v>205</v>
      </c>
      <c r="E28">
        <v>2</v>
      </c>
      <c r="F28" t="s">
        <v>211</v>
      </c>
      <c r="G28" t="s">
        <v>241</v>
      </c>
      <c r="H28" t="s">
        <v>416</v>
      </c>
      <c r="I28" t="s">
        <v>422</v>
      </c>
      <c r="J28" t="s">
        <v>424</v>
      </c>
      <c r="K28" t="s">
        <v>429</v>
      </c>
      <c r="L28" s="4">
        <f t="shared" si="0"/>
        <v>509.96</v>
      </c>
      <c r="M28" s="4">
        <v>254.98</v>
      </c>
    </row>
    <row r="29" spans="1:13" x14ac:dyDescent="0.3">
      <c r="A29" t="s">
        <v>38</v>
      </c>
      <c r="B29" t="s">
        <v>195</v>
      </c>
      <c r="C29" t="s">
        <v>202</v>
      </c>
      <c r="D29" t="s">
        <v>204</v>
      </c>
      <c r="E29">
        <v>3</v>
      </c>
      <c r="F29" t="s">
        <v>212</v>
      </c>
      <c r="G29" t="s">
        <v>242</v>
      </c>
      <c r="H29" t="s">
        <v>414</v>
      </c>
      <c r="I29" t="s">
        <v>421</v>
      </c>
      <c r="J29" t="s">
        <v>424</v>
      </c>
      <c r="K29" t="s">
        <v>429</v>
      </c>
      <c r="L29" s="4">
        <f t="shared" si="0"/>
        <v>658.8</v>
      </c>
      <c r="M29" s="4">
        <v>219.6</v>
      </c>
    </row>
    <row r="30" spans="1:13" x14ac:dyDescent="0.3">
      <c r="A30" t="s">
        <v>39</v>
      </c>
      <c r="B30" t="s">
        <v>189</v>
      </c>
      <c r="C30" t="s">
        <v>200</v>
      </c>
      <c r="D30" t="s">
        <v>208</v>
      </c>
      <c r="E30">
        <v>6</v>
      </c>
      <c r="F30" t="s">
        <v>213</v>
      </c>
      <c r="G30" t="s">
        <v>243</v>
      </c>
      <c r="H30" t="s">
        <v>414</v>
      </c>
      <c r="I30" t="s">
        <v>422</v>
      </c>
      <c r="J30" t="s">
        <v>424</v>
      </c>
      <c r="K30" t="s">
        <v>427</v>
      </c>
      <c r="L30" s="4">
        <f t="shared" si="0"/>
        <v>1866.66</v>
      </c>
      <c r="M30" s="4">
        <v>311.11</v>
      </c>
    </row>
    <row r="31" spans="1:13" x14ac:dyDescent="0.3">
      <c r="A31" t="s">
        <v>40</v>
      </c>
      <c r="B31" t="s">
        <v>195</v>
      </c>
      <c r="C31" t="s">
        <v>200</v>
      </c>
      <c r="D31" t="s">
        <v>205</v>
      </c>
      <c r="E31">
        <v>5</v>
      </c>
      <c r="F31" t="s">
        <v>210</v>
      </c>
      <c r="G31" t="s">
        <v>244</v>
      </c>
      <c r="H31" t="s">
        <v>417</v>
      </c>
      <c r="I31" t="s">
        <v>420</v>
      </c>
      <c r="J31" t="s">
        <v>423</v>
      </c>
      <c r="K31" t="s">
        <v>432</v>
      </c>
      <c r="L31" s="4">
        <f t="shared" si="0"/>
        <v>205.45000000000002</v>
      </c>
      <c r="M31" s="4">
        <v>41.09</v>
      </c>
    </row>
    <row r="32" spans="1:13" x14ac:dyDescent="0.3">
      <c r="A32" t="s">
        <v>41</v>
      </c>
      <c r="B32" t="s">
        <v>197</v>
      </c>
      <c r="C32" t="s">
        <v>200</v>
      </c>
      <c r="D32" t="s">
        <v>209</v>
      </c>
      <c r="E32">
        <v>6</v>
      </c>
      <c r="F32" t="s">
        <v>210</v>
      </c>
      <c r="G32" t="s">
        <v>245</v>
      </c>
      <c r="H32" t="s">
        <v>416</v>
      </c>
      <c r="I32" t="s">
        <v>420</v>
      </c>
      <c r="J32" t="s">
        <v>425</v>
      </c>
      <c r="K32" t="s">
        <v>427</v>
      </c>
      <c r="L32" s="4">
        <f t="shared" si="0"/>
        <v>1163.6999999999998</v>
      </c>
      <c r="M32" s="4">
        <v>193.95</v>
      </c>
    </row>
    <row r="33" spans="1:13" x14ac:dyDescent="0.3">
      <c r="A33" t="s">
        <v>42</v>
      </c>
      <c r="B33" t="s">
        <v>197</v>
      </c>
      <c r="C33" t="s">
        <v>201</v>
      </c>
      <c r="D33" t="s">
        <v>208</v>
      </c>
      <c r="E33">
        <v>1</v>
      </c>
      <c r="F33" t="s">
        <v>214</v>
      </c>
      <c r="G33" t="s">
        <v>246</v>
      </c>
      <c r="H33" t="s">
        <v>415</v>
      </c>
      <c r="I33" t="s">
        <v>419</v>
      </c>
      <c r="J33" t="s">
        <v>423</v>
      </c>
      <c r="K33" t="s">
        <v>431</v>
      </c>
      <c r="L33" s="4">
        <f t="shared" si="0"/>
        <v>177.74</v>
      </c>
      <c r="M33" s="4">
        <v>177.74</v>
      </c>
    </row>
    <row r="34" spans="1:13" x14ac:dyDescent="0.3">
      <c r="A34" t="s">
        <v>43</v>
      </c>
      <c r="B34" t="s">
        <v>192</v>
      </c>
      <c r="C34" t="s">
        <v>200</v>
      </c>
      <c r="D34" t="s">
        <v>209</v>
      </c>
      <c r="E34">
        <v>1</v>
      </c>
      <c r="F34" t="s">
        <v>212</v>
      </c>
      <c r="G34" t="s">
        <v>247</v>
      </c>
      <c r="H34" t="s">
        <v>414</v>
      </c>
      <c r="I34" t="s">
        <v>422</v>
      </c>
      <c r="J34" t="s">
        <v>424</v>
      </c>
      <c r="K34" t="s">
        <v>428</v>
      </c>
      <c r="L34" s="4">
        <f t="shared" si="0"/>
        <v>152.05000000000001</v>
      </c>
      <c r="M34" s="4">
        <v>152.05000000000001</v>
      </c>
    </row>
    <row r="35" spans="1:13" x14ac:dyDescent="0.3">
      <c r="A35" t="s">
        <v>44</v>
      </c>
      <c r="B35" t="s">
        <v>194</v>
      </c>
      <c r="C35" t="s">
        <v>201</v>
      </c>
      <c r="D35" t="s">
        <v>204</v>
      </c>
      <c r="E35">
        <v>7</v>
      </c>
      <c r="F35" t="s">
        <v>210</v>
      </c>
      <c r="G35" t="s">
        <v>248</v>
      </c>
      <c r="H35" t="s">
        <v>414</v>
      </c>
      <c r="I35" t="s">
        <v>420</v>
      </c>
      <c r="J35" t="s">
        <v>425</v>
      </c>
      <c r="K35" t="s">
        <v>432</v>
      </c>
      <c r="L35" s="4">
        <f t="shared" si="0"/>
        <v>977.06000000000006</v>
      </c>
      <c r="M35" s="4">
        <v>139.58000000000001</v>
      </c>
    </row>
    <row r="36" spans="1:13" x14ac:dyDescent="0.3">
      <c r="A36" t="s">
        <v>45</v>
      </c>
      <c r="B36" t="s">
        <v>191</v>
      </c>
      <c r="C36" t="s">
        <v>201</v>
      </c>
      <c r="D36" t="s">
        <v>208</v>
      </c>
      <c r="E36">
        <v>3</v>
      </c>
      <c r="F36" t="s">
        <v>212</v>
      </c>
      <c r="G36" t="s">
        <v>249</v>
      </c>
      <c r="H36" t="s">
        <v>417</v>
      </c>
      <c r="I36" t="s">
        <v>419</v>
      </c>
      <c r="J36" t="s">
        <v>424</v>
      </c>
      <c r="K36" t="s">
        <v>427</v>
      </c>
      <c r="L36" s="4">
        <f t="shared" si="0"/>
        <v>728.49</v>
      </c>
      <c r="M36" s="4">
        <v>242.83</v>
      </c>
    </row>
    <row r="37" spans="1:13" x14ac:dyDescent="0.3">
      <c r="A37" t="s">
        <v>46</v>
      </c>
      <c r="B37" t="s">
        <v>195</v>
      </c>
      <c r="C37" t="s">
        <v>202</v>
      </c>
      <c r="D37" t="s">
        <v>206</v>
      </c>
      <c r="E37">
        <v>8</v>
      </c>
      <c r="F37" t="s">
        <v>212</v>
      </c>
      <c r="G37" t="s">
        <v>250</v>
      </c>
      <c r="H37" t="s">
        <v>417</v>
      </c>
      <c r="I37" t="s">
        <v>420</v>
      </c>
      <c r="J37" t="s">
        <v>423</v>
      </c>
      <c r="K37" t="s">
        <v>428</v>
      </c>
      <c r="L37" s="4">
        <f t="shared" si="0"/>
        <v>1534.16</v>
      </c>
      <c r="M37" s="4">
        <v>191.77</v>
      </c>
    </row>
    <row r="38" spans="1:13" x14ac:dyDescent="0.3">
      <c r="A38" t="s">
        <v>47</v>
      </c>
      <c r="B38" t="s">
        <v>194</v>
      </c>
      <c r="C38" t="s">
        <v>201</v>
      </c>
      <c r="D38" t="s">
        <v>209</v>
      </c>
      <c r="E38">
        <v>3</v>
      </c>
      <c r="F38" t="s">
        <v>210</v>
      </c>
      <c r="G38" t="s">
        <v>251</v>
      </c>
      <c r="H38" t="s">
        <v>416</v>
      </c>
      <c r="I38" t="s">
        <v>420</v>
      </c>
      <c r="J38" t="s">
        <v>423</v>
      </c>
      <c r="K38" t="s">
        <v>432</v>
      </c>
      <c r="L38" s="4">
        <f t="shared" si="0"/>
        <v>1005.9000000000001</v>
      </c>
      <c r="M38" s="4">
        <v>335.3</v>
      </c>
    </row>
    <row r="39" spans="1:13" x14ac:dyDescent="0.3">
      <c r="A39" t="s">
        <v>48</v>
      </c>
      <c r="B39" t="s">
        <v>197</v>
      </c>
      <c r="C39" t="s">
        <v>201</v>
      </c>
      <c r="D39" t="s">
        <v>203</v>
      </c>
      <c r="E39">
        <v>9</v>
      </c>
      <c r="F39" t="s">
        <v>210</v>
      </c>
      <c r="G39" t="s">
        <v>252</v>
      </c>
      <c r="H39" t="s">
        <v>415</v>
      </c>
      <c r="I39" t="s">
        <v>420</v>
      </c>
      <c r="J39" t="s">
        <v>424</v>
      </c>
      <c r="K39" t="s">
        <v>430</v>
      </c>
      <c r="L39" s="4">
        <f t="shared" si="0"/>
        <v>2432.88</v>
      </c>
      <c r="M39" s="4">
        <v>270.32</v>
      </c>
    </row>
    <row r="40" spans="1:13" x14ac:dyDescent="0.3">
      <c r="A40" t="s">
        <v>49</v>
      </c>
      <c r="B40" t="s">
        <v>192</v>
      </c>
      <c r="C40" t="s">
        <v>199</v>
      </c>
      <c r="D40" t="s">
        <v>207</v>
      </c>
      <c r="E40">
        <v>4</v>
      </c>
      <c r="F40" t="s">
        <v>212</v>
      </c>
      <c r="G40" t="s">
        <v>253</v>
      </c>
      <c r="H40" t="s">
        <v>416</v>
      </c>
      <c r="I40" t="s">
        <v>419</v>
      </c>
      <c r="J40" t="s">
        <v>424</v>
      </c>
      <c r="K40" t="s">
        <v>427</v>
      </c>
      <c r="L40" s="4">
        <f t="shared" si="0"/>
        <v>1025.1600000000001</v>
      </c>
      <c r="M40" s="4">
        <v>256.29000000000002</v>
      </c>
    </row>
    <row r="41" spans="1:13" x14ac:dyDescent="0.3">
      <c r="A41" t="s">
        <v>47</v>
      </c>
      <c r="B41" t="s">
        <v>195</v>
      </c>
      <c r="C41" t="s">
        <v>200</v>
      </c>
      <c r="D41" t="s">
        <v>205</v>
      </c>
      <c r="E41">
        <v>1</v>
      </c>
      <c r="F41" t="s">
        <v>210</v>
      </c>
      <c r="G41" t="s">
        <v>254</v>
      </c>
      <c r="H41" t="s">
        <v>415</v>
      </c>
      <c r="I41" t="s">
        <v>420</v>
      </c>
      <c r="J41" t="s">
        <v>423</v>
      </c>
      <c r="K41" t="s">
        <v>428</v>
      </c>
      <c r="L41" s="4">
        <f t="shared" si="0"/>
        <v>314.48</v>
      </c>
      <c r="M41" s="4">
        <v>314.48</v>
      </c>
    </row>
    <row r="42" spans="1:13" x14ac:dyDescent="0.3">
      <c r="A42" t="s">
        <v>50</v>
      </c>
      <c r="B42" t="s">
        <v>192</v>
      </c>
      <c r="C42" t="s">
        <v>199</v>
      </c>
      <c r="D42" t="s">
        <v>205</v>
      </c>
      <c r="E42">
        <v>2</v>
      </c>
      <c r="F42" t="s">
        <v>211</v>
      </c>
      <c r="G42" t="s">
        <v>255</v>
      </c>
      <c r="H42" t="s">
        <v>417</v>
      </c>
      <c r="I42" t="s">
        <v>419</v>
      </c>
      <c r="J42" t="s">
        <v>424</v>
      </c>
      <c r="K42" t="s">
        <v>426</v>
      </c>
      <c r="L42" s="4">
        <f t="shared" si="0"/>
        <v>695.42</v>
      </c>
      <c r="M42" s="4">
        <v>347.71</v>
      </c>
    </row>
    <row r="43" spans="1:13" x14ac:dyDescent="0.3">
      <c r="A43" t="s">
        <v>51</v>
      </c>
      <c r="B43" t="s">
        <v>196</v>
      </c>
      <c r="C43" t="s">
        <v>202</v>
      </c>
      <c r="D43" t="s">
        <v>204</v>
      </c>
      <c r="E43">
        <v>5</v>
      </c>
      <c r="F43" t="s">
        <v>213</v>
      </c>
      <c r="G43" t="s">
        <v>256</v>
      </c>
      <c r="H43" t="s">
        <v>415</v>
      </c>
      <c r="I43" t="s">
        <v>422</v>
      </c>
      <c r="J43" t="s">
        <v>423</v>
      </c>
      <c r="K43" t="s">
        <v>427</v>
      </c>
      <c r="L43" s="4">
        <f t="shared" si="0"/>
        <v>315.3</v>
      </c>
      <c r="M43" s="4">
        <v>63.06</v>
      </c>
    </row>
    <row r="44" spans="1:13" x14ac:dyDescent="0.3">
      <c r="A44" t="s">
        <v>52</v>
      </c>
      <c r="B44" t="s">
        <v>191</v>
      </c>
      <c r="C44" t="s">
        <v>200</v>
      </c>
      <c r="D44" t="s">
        <v>205</v>
      </c>
      <c r="E44">
        <v>4</v>
      </c>
      <c r="F44" t="s">
        <v>214</v>
      </c>
      <c r="G44" t="s">
        <v>257</v>
      </c>
      <c r="H44" t="s">
        <v>418</v>
      </c>
      <c r="I44" t="s">
        <v>421</v>
      </c>
      <c r="J44" t="s">
        <v>424</v>
      </c>
      <c r="K44" t="s">
        <v>428</v>
      </c>
      <c r="L44" s="4">
        <f t="shared" si="0"/>
        <v>938.16</v>
      </c>
      <c r="M44" s="4">
        <v>234.54</v>
      </c>
    </row>
    <row r="45" spans="1:13" x14ac:dyDescent="0.3">
      <c r="A45" t="s">
        <v>53</v>
      </c>
      <c r="B45" t="s">
        <v>197</v>
      </c>
      <c r="C45" t="s">
        <v>199</v>
      </c>
      <c r="D45" t="s">
        <v>204</v>
      </c>
      <c r="E45">
        <v>2</v>
      </c>
      <c r="F45" t="s">
        <v>213</v>
      </c>
      <c r="G45" t="s">
        <v>258</v>
      </c>
      <c r="H45" t="s">
        <v>418</v>
      </c>
      <c r="I45" t="s">
        <v>421</v>
      </c>
      <c r="J45" t="s">
        <v>423</v>
      </c>
      <c r="K45" t="s">
        <v>430</v>
      </c>
      <c r="L45" s="4">
        <f t="shared" si="0"/>
        <v>86.84</v>
      </c>
      <c r="M45" s="4">
        <v>43.42</v>
      </c>
    </row>
    <row r="46" spans="1:13" x14ac:dyDescent="0.3">
      <c r="A46" t="s">
        <v>54</v>
      </c>
      <c r="B46" t="s">
        <v>198</v>
      </c>
      <c r="C46" t="s">
        <v>201</v>
      </c>
      <c r="D46" t="s">
        <v>209</v>
      </c>
      <c r="E46">
        <v>10</v>
      </c>
      <c r="F46" t="s">
        <v>210</v>
      </c>
      <c r="G46" t="s">
        <v>259</v>
      </c>
      <c r="H46" t="s">
        <v>414</v>
      </c>
      <c r="I46" t="s">
        <v>422</v>
      </c>
      <c r="J46" t="s">
        <v>423</v>
      </c>
      <c r="K46" t="s">
        <v>431</v>
      </c>
      <c r="L46" s="4">
        <f t="shared" si="0"/>
        <v>1372.3</v>
      </c>
      <c r="M46" s="4">
        <v>137.22999999999999</v>
      </c>
    </row>
    <row r="47" spans="1:13" x14ac:dyDescent="0.3">
      <c r="A47" t="s">
        <v>55</v>
      </c>
      <c r="B47" t="s">
        <v>193</v>
      </c>
      <c r="C47" t="s">
        <v>199</v>
      </c>
      <c r="D47" t="s">
        <v>208</v>
      </c>
      <c r="E47">
        <v>7</v>
      </c>
      <c r="F47" t="s">
        <v>210</v>
      </c>
      <c r="G47" t="s">
        <v>260</v>
      </c>
      <c r="H47" t="s">
        <v>414</v>
      </c>
      <c r="I47" t="s">
        <v>422</v>
      </c>
      <c r="J47" t="s">
        <v>424</v>
      </c>
      <c r="K47" t="s">
        <v>428</v>
      </c>
      <c r="L47" s="4">
        <f t="shared" si="0"/>
        <v>873.32</v>
      </c>
      <c r="M47" s="4">
        <v>124.76</v>
      </c>
    </row>
    <row r="48" spans="1:13" x14ac:dyDescent="0.3">
      <c r="A48" t="s">
        <v>56</v>
      </c>
      <c r="B48" t="s">
        <v>197</v>
      </c>
      <c r="C48" t="s">
        <v>199</v>
      </c>
      <c r="D48" t="s">
        <v>203</v>
      </c>
      <c r="E48">
        <v>3</v>
      </c>
      <c r="F48" t="s">
        <v>211</v>
      </c>
      <c r="G48" t="s">
        <v>261</v>
      </c>
      <c r="H48" t="s">
        <v>415</v>
      </c>
      <c r="I48" t="s">
        <v>421</v>
      </c>
      <c r="J48" t="s">
        <v>424</v>
      </c>
      <c r="K48" t="s">
        <v>429</v>
      </c>
      <c r="L48" s="4">
        <f t="shared" si="0"/>
        <v>266.73</v>
      </c>
      <c r="M48" s="4">
        <v>88.91</v>
      </c>
    </row>
    <row r="49" spans="1:13" x14ac:dyDescent="0.3">
      <c r="A49" t="s">
        <v>57</v>
      </c>
      <c r="B49" t="s">
        <v>191</v>
      </c>
      <c r="C49" t="s">
        <v>201</v>
      </c>
      <c r="D49" t="s">
        <v>209</v>
      </c>
      <c r="E49">
        <v>4</v>
      </c>
      <c r="F49" t="s">
        <v>211</v>
      </c>
      <c r="G49" t="s">
        <v>262</v>
      </c>
      <c r="H49" t="s">
        <v>418</v>
      </c>
      <c r="I49" t="s">
        <v>421</v>
      </c>
      <c r="J49" t="s">
        <v>425</v>
      </c>
      <c r="K49" t="s">
        <v>432</v>
      </c>
      <c r="L49" s="4">
        <f t="shared" si="0"/>
        <v>827.36</v>
      </c>
      <c r="M49" s="4">
        <v>206.84</v>
      </c>
    </row>
    <row r="50" spans="1:13" x14ac:dyDescent="0.3">
      <c r="A50" t="s">
        <v>58</v>
      </c>
      <c r="B50" t="s">
        <v>192</v>
      </c>
      <c r="C50" t="s">
        <v>202</v>
      </c>
      <c r="D50" t="s">
        <v>204</v>
      </c>
      <c r="E50">
        <v>10</v>
      </c>
      <c r="F50" t="s">
        <v>213</v>
      </c>
      <c r="G50" t="s">
        <v>263</v>
      </c>
      <c r="H50" t="s">
        <v>418</v>
      </c>
      <c r="I50" t="s">
        <v>420</v>
      </c>
      <c r="J50" t="s">
        <v>424</v>
      </c>
      <c r="K50" t="s">
        <v>428</v>
      </c>
      <c r="L50" s="4">
        <f t="shared" si="0"/>
        <v>209.8</v>
      </c>
      <c r="M50" s="4">
        <v>20.98</v>
      </c>
    </row>
    <row r="51" spans="1:13" x14ac:dyDescent="0.3">
      <c r="A51" t="s">
        <v>59</v>
      </c>
      <c r="B51" t="s">
        <v>194</v>
      </c>
      <c r="C51" t="s">
        <v>202</v>
      </c>
      <c r="D51" t="s">
        <v>204</v>
      </c>
      <c r="E51">
        <v>3</v>
      </c>
      <c r="F51" t="s">
        <v>214</v>
      </c>
      <c r="G51" t="s">
        <v>264</v>
      </c>
      <c r="H51" t="s">
        <v>417</v>
      </c>
      <c r="I51" t="s">
        <v>422</v>
      </c>
      <c r="J51" t="s">
        <v>424</v>
      </c>
      <c r="K51" t="s">
        <v>429</v>
      </c>
      <c r="L51" s="4">
        <f t="shared" si="0"/>
        <v>120.27000000000001</v>
      </c>
      <c r="M51" s="4">
        <v>40.090000000000003</v>
      </c>
    </row>
    <row r="52" spans="1:13" x14ac:dyDescent="0.3">
      <c r="A52" t="s">
        <v>60</v>
      </c>
      <c r="B52" t="s">
        <v>190</v>
      </c>
      <c r="C52" t="s">
        <v>199</v>
      </c>
      <c r="D52" t="s">
        <v>204</v>
      </c>
      <c r="E52">
        <v>2</v>
      </c>
      <c r="F52" t="s">
        <v>213</v>
      </c>
      <c r="G52" t="s">
        <v>265</v>
      </c>
      <c r="H52" t="s">
        <v>415</v>
      </c>
      <c r="I52" t="s">
        <v>419</v>
      </c>
      <c r="J52" t="s">
        <v>423</v>
      </c>
      <c r="K52" t="s">
        <v>428</v>
      </c>
      <c r="L52" s="4">
        <f t="shared" si="0"/>
        <v>84.98</v>
      </c>
      <c r="M52" s="4">
        <v>42.49</v>
      </c>
    </row>
    <row r="53" spans="1:13" x14ac:dyDescent="0.3">
      <c r="A53" t="s">
        <v>61</v>
      </c>
      <c r="B53" t="s">
        <v>192</v>
      </c>
      <c r="C53" t="s">
        <v>200</v>
      </c>
      <c r="D53" t="s">
        <v>208</v>
      </c>
      <c r="E53">
        <v>9</v>
      </c>
      <c r="F53" t="s">
        <v>212</v>
      </c>
      <c r="G53" t="s">
        <v>266</v>
      </c>
      <c r="H53" t="s">
        <v>418</v>
      </c>
      <c r="I53" t="s">
        <v>419</v>
      </c>
      <c r="J53" t="s">
        <v>423</v>
      </c>
      <c r="K53" t="s">
        <v>431</v>
      </c>
      <c r="L53" s="4">
        <f t="shared" si="0"/>
        <v>449.91</v>
      </c>
      <c r="M53" s="4">
        <v>49.99</v>
      </c>
    </row>
    <row r="54" spans="1:13" x14ac:dyDescent="0.3">
      <c r="A54" t="s">
        <v>62</v>
      </c>
      <c r="B54" t="s">
        <v>190</v>
      </c>
      <c r="C54" t="s">
        <v>200</v>
      </c>
      <c r="D54" t="s">
        <v>209</v>
      </c>
      <c r="E54">
        <v>3</v>
      </c>
      <c r="F54" t="s">
        <v>210</v>
      </c>
      <c r="G54" t="s">
        <v>267</v>
      </c>
      <c r="H54" t="s">
        <v>414</v>
      </c>
      <c r="I54" t="s">
        <v>419</v>
      </c>
      <c r="J54" t="s">
        <v>423</v>
      </c>
      <c r="K54" t="s">
        <v>429</v>
      </c>
      <c r="L54" s="4">
        <f t="shared" si="0"/>
        <v>201.06</v>
      </c>
      <c r="M54" s="4">
        <v>67.02</v>
      </c>
    </row>
    <row r="55" spans="1:13" x14ac:dyDescent="0.3">
      <c r="A55" t="s">
        <v>63</v>
      </c>
      <c r="B55" t="s">
        <v>191</v>
      </c>
      <c r="C55" t="s">
        <v>202</v>
      </c>
      <c r="D55" t="s">
        <v>207</v>
      </c>
      <c r="E55">
        <v>4</v>
      </c>
      <c r="F55" t="s">
        <v>210</v>
      </c>
      <c r="G55" t="s">
        <v>268</v>
      </c>
      <c r="H55" t="s">
        <v>414</v>
      </c>
      <c r="I55" t="s">
        <v>420</v>
      </c>
      <c r="J55" t="s">
        <v>424</v>
      </c>
      <c r="K55" t="s">
        <v>431</v>
      </c>
      <c r="L55" s="4">
        <f t="shared" si="0"/>
        <v>33.880000000000003</v>
      </c>
      <c r="M55" s="4">
        <v>8.4700000000000006</v>
      </c>
    </row>
    <row r="56" spans="1:13" x14ac:dyDescent="0.3">
      <c r="A56" t="s">
        <v>38</v>
      </c>
      <c r="B56" t="s">
        <v>194</v>
      </c>
      <c r="C56" t="s">
        <v>202</v>
      </c>
      <c r="D56" t="s">
        <v>209</v>
      </c>
      <c r="E56">
        <v>3</v>
      </c>
      <c r="F56" t="s">
        <v>212</v>
      </c>
      <c r="G56" t="s">
        <v>269</v>
      </c>
      <c r="H56" t="s">
        <v>417</v>
      </c>
      <c r="I56" t="s">
        <v>419</v>
      </c>
      <c r="J56" t="s">
        <v>424</v>
      </c>
      <c r="K56" t="s">
        <v>426</v>
      </c>
      <c r="L56" s="4">
        <f t="shared" si="0"/>
        <v>910.05000000000007</v>
      </c>
      <c r="M56" s="4">
        <v>303.35000000000002</v>
      </c>
    </row>
    <row r="57" spans="1:13" x14ac:dyDescent="0.3">
      <c r="A57" t="s">
        <v>64</v>
      </c>
      <c r="B57" t="s">
        <v>196</v>
      </c>
      <c r="C57" t="s">
        <v>200</v>
      </c>
      <c r="D57" t="s">
        <v>205</v>
      </c>
      <c r="E57">
        <v>7</v>
      </c>
      <c r="F57" t="s">
        <v>214</v>
      </c>
      <c r="G57" t="s">
        <v>270</v>
      </c>
      <c r="H57" t="s">
        <v>414</v>
      </c>
      <c r="I57" t="s">
        <v>421</v>
      </c>
      <c r="J57" t="s">
        <v>423</v>
      </c>
      <c r="K57" t="s">
        <v>429</v>
      </c>
      <c r="L57" s="4">
        <f t="shared" si="0"/>
        <v>711.13</v>
      </c>
      <c r="M57" s="4">
        <v>101.59</v>
      </c>
    </row>
    <row r="58" spans="1:13" x14ac:dyDescent="0.3">
      <c r="A58" t="s">
        <v>65</v>
      </c>
      <c r="B58" t="s">
        <v>198</v>
      </c>
      <c r="C58" t="s">
        <v>202</v>
      </c>
      <c r="D58" t="s">
        <v>208</v>
      </c>
      <c r="E58">
        <v>1</v>
      </c>
      <c r="F58" t="s">
        <v>210</v>
      </c>
      <c r="G58" t="s">
        <v>271</v>
      </c>
      <c r="H58" t="s">
        <v>415</v>
      </c>
      <c r="I58" t="s">
        <v>419</v>
      </c>
      <c r="J58" t="s">
        <v>424</v>
      </c>
      <c r="K58" t="s">
        <v>426</v>
      </c>
      <c r="L58" s="4">
        <f t="shared" si="0"/>
        <v>263.81</v>
      </c>
      <c r="M58" s="4">
        <v>263.81</v>
      </c>
    </row>
    <row r="59" spans="1:13" x14ac:dyDescent="0.3">
      <c r="A59" t="s">
        <v>48</v>
      </c>
      <c r="B59" t="s">
        <v>198</v>
      </c>
      <c r="C59" t="s">
        <v>201</v>
      </c>
      <c r="D59" t="s">
        <v>207</v>
      </c>
      <c r="E59">
        <v>6</v>
      </c>
      <c r="F59" t="s">
        <v>211</v>
      </c>
      <c r="G59" t="s">
        <v>272</v>
      </c>
      <c r="H59" t="s">
        <v>414</v>
      </c>
      <c r="I59" t="s">
        <v>422</v>
      </c>
      <c r="J59" t="s">
        <v>424</v>
      </c>
      <c r="K59" t="s">
        <v>426</v>
      </c>
      <c r="L59" s="4">
        <f t="shared" si="0"/>
        <v>382.68</v>
      </c>
      <c r="M59" s="4">
        <v>63.78</v>
      </c>
    </row>
    <row r="60" spans="1:13" x14ac:dyDescent="0.3">
      <c r="A60" t="s">
        <v>66</v>
      </c>
      <c r="B60" t="s">
        <v>195</v>
      </c>
      <c r="C60" t="s">
        <v>202</v>
      </c>
      <c r="D60" t="s">
        <v>209</v>
      </c>
      <c r="E60">
        <v>7</v>
      </c>
      <c r="F60" t="s">
        <v>212</v>
      </c>
      <c r="G60" t="s">
        <v>273</v>
      </c>
      <c r="H60" t="s">
        <v>418</v>
      </c>
      <c r="I60" t="s">
        <v>419</v>
      </c>
      <c r="J60" t="s">
        <v>424</v>
      </c>
      <c r="K60" t="s">
        <v>429</v>
      </c>
      <c r="L60" s="4">
        <f t="shared" si="0"/>
        <v>2059.19</v>
      </c>
      <c r="M60" s="4">
        <v>294.17</v>
      </c>
    </row>
    <row r="61" spans="1:13" x14ac:dyDescent="0.3">
      <c r="A61" t="s">
        <v>67</v>
      </c>
      <c r="B61" t="s">
        <v>198</v>
      </c>
      <c r="C61" t="s">
        <v>202</v>
      </c>
      <c r="D61" t="s">
        <v>208</v>
      </c>
      <c r="E61">
        <v>6</v>
      </c>
      <c r="F61" t="s">
        <v>212</v>
      </c>
      <c r="G61" t="s">
        <v>274</v>
      </c>
      <c r="H61" t="s">
        <v>415</v>
      </c>
      <c r="I61" t="s">
        <v>419</v>
      </c>
      <c r="J61" t="s">
        <v>423</v>
      </c>
      <c r="K61" t="s">
        <v>427</v>
      </c>
      <c r="L61" s="4">
        <f t="shared" si="0"/>
        <v>2029.5</v>
      </c>
      <c r="M61" s="4">
        <v>338.25</v>
      </c>
    </row>
    <row r="62" spans="1:13" x14ac:dyDescent="0.3">
      <c r="A62" t="s">
        <v>68</v>
      </c>
      <c r="B62" t="s">
        <v>198</v>
      </c>
      <c r="C62" t="s">
        <v>202</v>
      </c>
      <c r="D62" t="s">
        <v>203</v>
      </c>
      <c r="E62">
        <v>8</v>
      </c>
      <c r="F62" t="s">
        <v>212</v>
      </c>
      <c r="G62" t="s">
        <v>275</v>
      </c>
      <c r="H62" t="s">
        <v>415</v>
      </c>
      <c r="I62" t="s">
        <v>421</v>
      </c>
      <c r="J62" t="s">
        <v>423</v>
      </c>
      <c r="K62" t="s">
        <v>432</v>
      </c>
      <c r="L62" s="4">
        <f t="shared" si="0"/>
        <v>2292</v>
      </c>
      <c r="M62" s="4">
        <v>286.5</v>
      </c>
    </row>
    <row r="63" spans="1:13" x14ac:dyDescent="0.3">
      <c r="A63" t="s">
        <v>69</v>
      </c>
      <c r="B63" t="s">
        <v>189</v>
      </c>
      <c r="C63" t="s">
        <v>202</v>
      </c>
      <c r="D63" t="s">
        <v>207</v>
      </c>
      <c r="E63">
        <v>7</v>
      </c>
      <c r="F63" t="s">
        <v>210</v>
      </c>
      <c r="G63" t="s">
        <v>276</v>
      </c>
      <c r="H63" t="s">
        <v>418</v>
      </c>
      <c r="I63" t="s">
        <v>420</v>
      </c>
      <c r="J63" t="s">
        <v>424</v>
      </c>
      <c r="K63" t="s">
        <v>430</v>
      </c>
      <c r="L63" s="4">
        <f t="shared" si="0"/>
        <v>1547.77</v>
      </c>
      <c r="M63" s="4">
        <v>221.11</v>
      </c>
    </row>
    <row r="64" spans="1:13" x14ac:dyDescent="0.3">
      <c r="A64" t="s">
        <v>70</v>
      </c>
      <c r="B64" t="s">
        <v>196</v>
      </c>
      <c r="C64" t="s">
        <v>199</v>
      </c>
      <c r="D64" t="s">
        <v>204</v>
      </c>
      <c r="E64">
        <v>2</v>
      </c>
      <c r="F64" t="s">
        <v>213</v>
      </c>
      <c r="G64" t="s">
        <v>277</v>
      </c>
      <c r="H64" t="s">
        <v>414</v>
      </c>
      <c r="I64" t="s">
        <v>420</v>
      </c>
      <c r="J64" t="s">
        <v>424</v>
      </c>
      <c r="K64" t="s">
        <v>431</v>
      </c>
      <c r="L64" s="4">
        <f t="shared" si="0"/>
        <v>735.76</v>
      </c>
      <c r="M64" s="4">
        <v>367.88</v>
      </c>
    </row>
    <row r="65" spans="1:13" x14ac:dyDescent="0.3">
      <c r="A65" t="s">
        <v>71</v>
      </c>
      <c r="B65" t="s">
        <v>191</v>
      </c>
      <c r="C65" t="s">
        <v>199</v>
      </c>
      <c r="D65" t="s">
        <v>205</v>
      </c>
      <c r="E65">
        <v>7</v>
      </c>
      <c r="F65" t="s">
        <v>214</v>
      </c>
      <c r="G65" t="s">
        <v>278</v>
      </c>
      <c r="H65" t="s">
        <v>418</v>
      </c>
      <c r="I65" t="s">
        <v>421</v>
      </c>
      <c r="J65" t="s">
        <v>423</v>
      </c>
      <c r="K65" t="s">
        <v>431</v>
      </c>
      <c r="L65" s="4">
        <f t="shared" si="0"/>
        <v>2716.14</v>
      </c>
      <c r="M65" s="4">
        <v>388.02</v>
      </c>
    </row>
    <row r="66" spans="1:13" x14ac:dyDescent="0.3">
      <c r="A66" t="s">
        <v>72</v>
      </c>
      <c r="B66" t="s">
        <v>193</v>
      </c>
      <c r="C66" t="s">
        <v>199</v>
      </c>
      <c r="D66" t="s">
        <v>205</v>
      </c>
      <c r="E66">
        <v>5</v>
      </c>
      <c r="F66" t="s">
        <v>211</v>
      </c>
      <c r="G66" t="s">
        <v>279</v>
      </c>
      <c r="H66" t="s">
        <v>418</v>
      </c>
      <c r="I66" t="s">
        <v>421</v>
      </c>
      <c r="J66" t="s">
        <v>424</v>
      </c>
      <c r="K66" t="s">
        <v>431</v>
      </c>
      <c r="L66" s="4">
        <f t="shared" si="0"/>
        <v>609.6</v>
      </c>
      <c r="M66" s="4">
        <v>121.92</v>
      </c>
    </row>
    <row r="67" spans="1:13" x14ac:dyDescent="0.3">
      <c r="A67" t="s">
        <v>73</v>
      </c>
      <c r="B67" t="s">
        <v>195</v>
      </c>
      <c r="C67" t="s">
        <v>199</v>
      </c>
      <c r="D67" t="s">
        <v>204</v>
      </c>
      <c r="E67">
        <v>10</v>
      </c>
      <c r="F67" t="s">
        <v>213</v>
      </c>
      <c r="G67" t="s">
        <v>280</v>
      </c>
      <c r="H67" t="s">
        <v>417</v>
      </c>
      <c r="I67" t="s">
        <v>419</v>
      </c>
      <c r="J67" t="s">
        <v>424</v>
      </c>
      <c r="K67" t="s">
        <v>427</v>
      </c>
      <c r="L67" s="4">
        <f t="shared" ref="L67:L130" si="2">PRODUCT(M67,E67)</f>
        <v>3063.7</v>
      </c>
      <c r="M67" s="4">
        <v>306.37</v>
      </c>
    </row>
    <row r="68" spans="1:13" x14ac:dyDescent="0.3">
      <c r="A68" t="s">
        <v>74</v>
      </c>
      <c r="B68" t="s">
        <v>190</v>
      </c>
      <c r="C68" t="s">
        <v>199</v>
      </c>
      <c r="D68" t="s">
        <v>209</v>
      </c>
      <c r="E68">
        <v>10</v>
      </c>
      <c r="F68" t="s">
        <v>212</v>
      </c>
      <c r="G68" t="s">
        <v>281</v>
      </c>
      <c r="H68" t="s">
        <v>414</v>
      </c>
      <c r="I68" t="s">
        <v>422</v>
      </c>
      <c r="J68" t="s">
        <v>423</v>
      </c>
      <c r="K68" t="s">
        <v>432</v>
      </c>
      <c r="L68" s="4">
        <f t="shared" si="2"/>
        <v>2416</v>
      </c>
      <c r="M68" s="4">
        <v>241.6</v>
      </c>
    </row>
    <row r="69" spans="1:13" x14ac:dyDescent="0.3">
      <c r="A69" t="s">
        <v>75</v>
      </c>
      <c r="B69" t="s">
        <v>190</v>
      </c>
      <c r="C69" t="s">
        <v>200</v>
      </c>
      <c r="D69" t="s">
        <v>207</v>
      </c>
      <c r="E69">
        <v>8</v>
      </c>
      <c r="F69" t="s">
        <v>210</v>
      </c>
      <c r="G69" t="s">
        <v>282</v>
      </c>
      <c r="H69" t="s">
        <v>417</v>
      </c>
      <c r="I69" t="s">
        <v>419</v>
      </c>
      <c r="J69" t="s">
        <v>424</v>
      </c>
      <c r="K69" t="s">
        <v>429</v>
      </c>
      <c r="L69" s="4">
        <f t="shared" si="2"/>
        <v>2834.32</v>
      </c>
      <c r="M69" s="4">
        <v>354.29</v>
      </c>
    </row>
    <row r="70" spans="1:13" x14ac:dyDescent="0.3">
      <c r="A70" t="s">
        <v>76</v>
      </c>
      <c r="B70" t="s">
        <v>193</v>
      </c>
      <c r="C70" t="s">
        <v>202</v>
      </c>
      <c r="D70" t="s">
        <v>203</v>
      </c>
      <c r="E70">
        <v>4</v>
      </c>
      <c r="F70" t="s">
        <v>212</v>
      </c>
      <c r="G70" t="s">
        <v>283</v>
      </c>
      <c r="H70" t="s">
        <v>417</v>
      </c>
      <c r="I70" t="s">
        <v>420</v>
      </c>
      <c r="J70" t="s">
        <v>425</v>
      </c>
      <c r="K70" t="s">
        <v>427</v>
      </c>
      <c r="L70" s="4">
        <f t="shared" si="2"/>
        <v>532.04</v>
      </c>
      <c r="M70" s="4">
        <v>133.01</v>
      </c>
    </row>
    <row r="71" spans="1:13" x14ac:dyDescent="0.3">
      <c r="A71" t="s">
        <v>77</v>
      </c>
      <c r="B71" t="s">
        <v>194</v>
      </c>
      <c r="C71" t="s">
        <v>199</v>
      </c>
      <c r="D71" t="s">
        <v>209</v>
      </c>
      <c r="E71">
        <v>1</v>
      </c>
      <c r="F71" t="s">
        <v>210</v>
      </c>
      <c r="G71" t="s">
        <v>284</v>
      </c>
      <c r="H71" t="s">
        <v>417</v>
      </c>
      <c r="I71" t="s">
        <v>421</v>
      </c>
      <c r="J71" t="s">
        <v>424</v>
      </c>
      <c r="K71" t="s">
        <v>432</v>
      </c>
      <c r="L71" s="4">
        <f t="shared" si="2"/>
        <v>72.55</v>
      </c>
      <c r="M71" s="4">
        <v>72.55</v>
      </c>
    </row>
    <row r="72" spans="1:13" x14ac:dyDescent="0.3">
      <c r="A72" t="s">
        <v>78</v>
      </c>
      <c r="B72" t="s">
        <v>196</v>
      </c>
      <c r="C72" t="s">
        <v>199</v>
      </c>
      <c r="D72" t="s">
        <v>207</v>
      </c>
      <c r="E72">
        <v>8</v>
      </c>
      <c r="F72" t="s">
        <v>212</v>
      </c>
      <c r="G72" t="s">
        <v>285</v>
      </c>
      <c r="H72" t="s">
        <v>415</v>
      </c>
      <c r="I72" t="s">
        <v>420</v>
      </c>
      <c r="J72" t="s">
        <v>425</v>
      </c>
      <c r="K72" t="s">
        <v>427</v>
      </c>
      <c r="L72" s="4">
        <f t="shared" si="2"/>
        <v>1605.12</v>
      </c>
      <c r="M72" s="4">
        <v>200.64</v>
      </c>
    </row>
    <row r="73" spans="1:13" x14ac:dyDescent="0.3">
      <c r="A73" t="s">
        <v>79</v>
      </c>
      <c r="B73" t="s">
        <v>191</v>
      </c>
      <c r="C73" t="s">
        <v>199</v>
      </c>
      <c r="D73" t="s">
        <v>209</v>
      </c>
      <c r="E73">
        <v>5</v>
      </c>
      <c r="F73" t="s">
        <v>212</v>
      </c>
      <c r="G73" t="s">
        <v>286</v>
      </c>
      <c r="H73" t="s">
        <v>417</v>
      </c>
      <c r="I73" t="s">
        <v>419</v>
      </c>
      <c r="J73" t="s">
        <v>424</v>
      </c>
      <c r="K73" t="s">
        <v>432</v>
      </c>
      <c r="L73" s="4">
        <f t="shared" si="2"/>
        <v>1486.05</v>
      </c>
      <c r="M73" s="4">
        <v>297.20999999999998</v>
      </c>
    </row>
    <row r="74" spans="1:13" x14ac:dyDescent="0.3">
      <c r="A74" t="s">
        <v>80</v>
      </c>
      <c r="B74" t="s">
        <v>194</v>
      </c>
      <c r="C74" t="s">
        <v>202</v>
      </c>
      <c r="D74" t="s">
        <v>208</v>
      </c>
      <c r="E74">
        <v>2</v>
      </c>
      <c r="F74" t="s">
        <v>213</v>
      </c>
      <c r="G74" t="s">
        <v>287</v>
      </c>
      <c r="H74" t="s">
        <v>418</v>
      </c>
      <c r="I74" t="s">
        <v>421</v>
      </c>
      <c r="J74" t="s">
        <v>423</v>
      </c>
      <c r="K74" t="s">
        <v>429</v>
      </c>
      <c r="L74" s="4">
        <f t="shared" si="2"/>
        <v>342.6</v>
      </c>
      <c r="M74" s="4">
        <v>171.3</v>
      </c>
    </row>
    <row r="75" spans="1:13" x14ac:dyDescent="0.3">
      <c r="A75" t="s">
        <v>81</v>
      </c>
      <c r="B75" t="s">
        <v>196</v>
      </c>
      <c r="C75" t="s">
        <v>202</v>
      </c>
      <c r="D75" t="s">
        <v>209</v>
      </c>
      <c r="E75">
        <v>9</v>
      </c>
      <c r="F75" t="s">
        <v>214</v>
      </c>
      <c r="G75" t="s">
        <v>288</v>
      </c>
      <c r="H75" t="s">
        <v>415</v>
      </c>
      <c r="I75" t="s">
        <v>422</v>
      </c>
      <c r="J75" t="s">
        <v>423</v>
      </c>
      <c r="K75" t="s">
        <v>430</v>
      </c>
      <c r="L75" s="4">
        <f t="shared" si="2"/>
        <v>1425.33</v>
      </c>
      <c r="M75" s="4">
        <v>158.37</v>
      </c>
    </row>
    <row r="76" spans="1:13" x14ac:dyDescent="0.3">
      <c r="A76" t="s">
        <v>82</v>
      </c>
      <c r="B76" t="s">
        <v>194</v>
      </c>
      <c r="C76" t="s">
        <v>202</v>
      </c>
      <c r="D76" t="s">
        <v>206</v>
      </c>
      <c r="E76">
        <v>6</v>
      </c>
      <c r="F76" t="s">
        <v>211</v>
      </c>
      <c r="G76" t="s">
        <v>289</v>
      </c>
      <c r="H76" t="s">
        <v>417</v>
      </c>
      <c r="I76" t="s">
        <v>419</v>
      </c>
      <c r="J76" t="s">
        <v>424</v>
      </c>
      <c r="K76" t="s">
        <v>426</v>
      </c>
      <c r="L76" s="4">
        <f t="shared" si="2"/>
        <v>588.18000000000006</v>
      </c>
      <c r="M76" s="4">
        <v>98.03</v>
      </c>
    </row>
    <row r="77" spans="1:13" x14ac:dyDescent="0.3">
      <c r="A77" t="s">
        <v>83</v>
      </c>
      <c r="B77" t="s">
        <v>193</v>
      </c>
      <c r="C77" t="s">
        <v>202</v>
      </c>
      <c r="D77" t="s">
        <v>203</v>
      </c>
      <c r="E77">
        <v>7</v>
      </c>
      <c r="F77" t="s">
        <v>214</v>
      </c>
      <c r="G77" t="s">
        <v>290</v>
      </c>
      <c r="H77" t="s">
        <v>418</v>
      </c>
      <c r="I77" t="s">
        <v>421</v>
      </c>
      <c r="J77" t="s">
        <v>424</v>
      </c>
      <c r="K77" t="s">
        <v>431</v>
      </c>
      <c r="L77" s="4">
        <f t="shared" si="2"/>
        <v>334.88</v>
      </c>
      <c r="M77" s="4">
        <v>47.84</v>
      </c>
    </row>
    <row r="78" spans="1:13" x14ac:dyDescent="0.3">
      <c r="A78" t="s">
        <v>84</v>
      </c>
      <c r="B78" t="s">
        <v>197</v>
      </c>
      <c r="C78" t="s">
        <v>202</v>
      </c>
      <c r="D78" t="s">
        <v>204</v>
      </c>
      <c r="E78">
        <v>7</v>
      </c>
      <c r="F78" t="s">
        <v>212</v>
      </c>
      <c r="G78" t="s">
        <v>291</v>
      </c>
      <c r="H78" t="s">
        <v>418</v>
      </c>
      <c r="I78" t="s">
        <v>421</v>
      </c>
      <c r="J78" t="s">
        <v>425</v>
      </c>
      <c r="K78" t="s">
        <v>427</v>
      </c>
      <c r="L78" s="4">
        <f t="shared" si="2"/>
        <v>2529.17</v>
      </c>
      <c r="M78" s="4">
        <v>361.31</v>
      </c>
    </row>
    <row r="79" spans="1:13" x14ac:dyDescent="0.3">
      <c r="A79" t="s">
        <v>85</v>
      </c>
      <c r="B79" t="s">
        <v>191</v>
      </c>
      <c r="C79" t="s">
        <v>202</v>
      </c>
      <c r="D79" t="s">
        <v>205</v>
      </c>
      <c r="E79">
        <v>4</v>
      </c>
      <c r="F79" t="s">
        <v>214</v>
      </c>
      <c r="G79" t="s">
        <v>292</v>
      </c>
      <c r="H79" t="s">
        <v>416</v>
      </c>
      <c r="I79" t="s">
        <v>420</v>
      </c>
      <c r="J79" t="s">
        <v>423</v>
      </c>
      <c r="K79" t="s">
        <v>432</v>
      </c>
      <c r="L79" s="4">
        <f t="shared" si="2"/>
        <v>1387.48</v>
      </c>
      <c r="M79" s="4">
        <v>346.87</v>
      </c>
    </row>
    <row r="80" spans="1:13" x14ac:dyDescent="0.3">
      <c r="A80" t="s">
        <v>86</v>
      </c>
      <c r="B80" t="s">
        <v>190</v>
      </c>
      <c r="C80" t="s">
        <v>199</v>
      </c>
      <c r="D80" t="s">
        <v>206</v>
      </c>
      <c r="E80">
        <v>3</v>
      </c>
      <c r="F80" t="s">
        <v>210</v>
      </c>
      <c r="G80" t="s">
        <v>293</v>
      </c>
      <c r="H80" t="s">
        <v>418</v>
      </c>
      <c r="I80" t="s">
        <v>419</v>
      </c>
      <c r="J80" t="s">
        <v>425</v>
      </c>
      <c r="K80" t="s">
        <v>432</v>
      </c>
      <c r="L80" s="4">
        <f t="shared" si="2"/>
        <v>420.93</v>
      </c>
      <c r="M80" s="4">
        <v>140.31</v>
      </c>
    </row>
    <row r="81" spans="1:13" x14ac:dyDescent="0.3">
      <c r="A81" t="s">
        <v>87</v>
      </c>
      <c r="B81" t="s">
        <v>191</v>
      </c>
      <c r="C81" t="s">
        <v>199</v>
      </c>
      <c r="D81" t="s">
        <v>208</v>
      </c>
      <c r="E81">
        <v>4</v>
      </c>
      <c r="F81" t="s">
        <v>214</v>
      </c>
      <c r="G81" t="s">
        <v>294</v>
      </c>
      <c r="H81" t="s">
        <v>414</v>
      </c>
      <c r="I81" t="s">
        <v>419</v>
      </c>
      <c r="J81" t="s">
        <v>424</v>
      </c>
      <c r="K81" t="s">
        <v>432</v>
      </c>
      <c r="L81" s="4">
        <f t="shared" si="2"/>
        <v>836.2</v>
      </c>
      <c r="M81" s="4">
        <v>209.05</v>
      </c>
    </row>
    <row r="82" spans="1:13" x14ac:dyDescent="0.3">
      <c r="A82" t="s">
        <v>88</v>
      </c>
      <c r="B82" t="s">
        <v>195</v>
      </c>
      <c r="C82" t="s">
        <v>199</v>
      </c>
      <c r="D82" t="s">
        <v>209</v>
      </c>
      <c r="E82">
        <v>9</v>
      </c>
      <c r="F82" t="s">
        <v>213</v>
      </c>
      <c r="G82" t="s">
        <v>295</v>
      </c>
      <c r="H82" t="s">
        <v>415</v>
      </c>
      <c r="I82" t="s">
        <v>420</v>
      </c>
      <c r="J82" t="s">
        <v>424</v>
      </c>
      <c r="K82" t="s">
        <v>426</v>
      </c>
      <c r="L82" s="4">
        <f t="shared" si="2"/>
        <v>1557.81</v>
      </c>
      <c r="M82" s="4">
        <v>173.09</v>
      </c>
    </row>
    <row r="83" spans="1:13" x14ac:dyDescent="0.3">
      <c r="A83" t="s">
        <v>89</v>
      </c>
      <c r="B83" t="s">
        <v>192</v>
      </c>
      <c r="C83" t="s">
        <v>202</v>
      </c>
      <c r="D83" t="s">
        <v>206</v>
      </c>
      <c r="E83">
        <v>7</v>
      </c>
      <c r="F83" t="s">
        <v>213</v>
      </c>
      <c r="G83" t="s">
        <v>296</v>
      </c>
      <c r="H83" t="s">
        <v>417</v>
      </c>
      <c r="I83" t="s">
        <v>422</v>
      </c>
      <c r="J83" t="s">
        <v>424</v>
      </c>
      <c r="K83" t="s">
        <v>428</v>
      </c>
      <c r="L83" s="4">
        <f t="shared" si="2"/>
        <v>471.52</v>
      </c>
      <c r="M83" s="4">
        <v>67.36</v>
      </c>
    </row>
    <row r="84" spans="1:13" x14ac:dyDescent="0.3">
      <c r="A84" t="s">
        <v>90</v>
      </c>
      <c r="B84" t="s">
        <v>196</v>
      </c>
      <c r="C84" t="s">
        <v>199</v>
      </c>
      <c r="D84" t="s">
        <v>204</v>
      </c>
      <c r="E84">
        <v>5</v>
      </c>
      <c r="F84" t="s">
        <v>214</v>
      </c>
      <c r="G84" t="s">
        <v>297</v>
      </c>
      <c r="H84" t="s">
        <v>415</v>
      </c>
      <c r="I84" t="s">
        <v>421</v>
      </c>
      <c r="J84" t="s">
        <v>423</v>
      </c>
      <c r="K84" t="s">
        <v>429</v>
      </c>
      <c r="L84" s="4">
        <f t="shared" si="2"/>
        <v>1595.25</v>
      </c>
      <c r="M84" s="4">
        <v>319.05</v>
      </c>
    </row>
    <row r="85" spans="1:13" x14ac:dyDescent="0.3">
      <c r="A85" t="s">
        <v>32</v>
      </c>
      <c r="B85" t="s">
        <v>197</v>
      </c>
      <c r="C85" t="s">
        <v>199</v>
      </c>
      <c r="D85" t="s">
        <v>207</v>
      </c>
      <c r="E85">
        <v>6</v>
      </c>
      <c r="F85" t="s">
        <v>212</v>
      </c>
      <c r="G85" t="s">
        <v>298</v>
      </c>
      <c r="H85" t="s">
        <v>416</v>
      </c>
      <c r="I85" t="s">
        <v>420</v>
      </c>
      <c r="J85" t="s">
        <v>423</v>
      </c>
      <c r="K85" t="s">
        <v>427</v>
      </c>
      <c r="L85" s="4">
        <f t="shared" si="2"/>
        <v>43.92</v>
      </c>
      <c r="M85" s="4">
        <v>7.32</v>
      </c>
    </row>
    <row r="86" spans="1:13" x14ac:dyDescent="0.3">
      <c r="A86" t="s">
        <v>91</v>
      </c>
      <c r="B86" t="s">
        <v>198</v>
      </c>
      <c r="C86" t="s">
        <v>200</v>
      </c>
      <c r="D86" t="s">
        <v>208</v>
      </c>
      <c r="E86">
        <v>2</v>
      </c>
      <c r="F86" t="s">
        <v>210</v>
      </c>
      <c r="G86" t="s">
        <v>299</v>
      </c>
      <c r="H86" t="s">
        <v>418</v>
      </c>
      <c r="I86" t="s">
        <v>420</v>
      </c>
      <c r="J86" t="s">
        <v>425</v>
      </c>
      <c r="K86" t="s">
        <v>432</v>
      </c>
      <c r="L86" s="4">
        <f t="shared" si="2"/>
        <v>52.64</v>
      </c>
      <c r="M86" s="4">
        <v>26.32</v>
      </c>
    </row>
    <row r="87" spans="1:13" x14ac:dyDescent="0.3">
      <c r="A87" t="s">
        <v>92</v>
      </c>
      <c r="B87" t="s">
        <v>192</v>
      </c>
      <c r="C87" t="s">
        <v>201</v>
      </c>
      <c r="D87" t="s">
        <v>209</v>
      </c>
      <c r="E87">
        <v>1</v>
      </c>
      <c r="F87" t="s">
        <v>210</v>
      </c>
      <c r="G87" t="s">
        <v>300</v>
      </c>
      <c r="H87" t="s">
        <v>415</v>
      </c>
      <c r="I87" t="s">
        <v>419</v>
      </c>
      <c r="J87" t="s">
        <v>425</v>
      </c>
      <c r="K87" t="s">
        <v>426</v>
      </c>
      <c r="L87" s="4">
        <f t="shared" si="2"/>
        <v>61.14</v>
      </c>
      <c r="M87" s="4">
        <v>61.14</v>
      </c>
    </row>
    <row r="88" spans="1:13" x14ac:dyDescent="0.3">
      <c r="A88" t="s">
        <v>93</v>
      </c>
      <c r="B88" t="s">
        <v>198</v>
      </c>
      <c r="C88" t="s">
        <v>199</v>
      </c>
      <c r="D88" t="s">
        <v>205</v>
      </c>
      <c r="E88">
        <v>4</v>
      </c>
      <c r="F88" t="s">
        <v>211</v>
      </c>
      <c r="G88" t="s">
        <v>301</v>
      </c>
      <c r="H88" t="s">
        <v>416</v>
      </c>
      <c r="I88" t="s">
        <v>420</v>
      </c>
      <c r="J88" t="s">
        <v>425</v>
      </c>
      <c r="K88" t="s">
        <v>428</v>
      </c>
      <c r="L88" s="4">
        <f t="shared" si="2"/>
        <v>1401.32</v>
      </c>
      <c r="M88" s="4">
        <v>350.33</v>
      </c>
    </row>
    <row r="89" spans="1:13" x14ac:dyDescent="0.3">
      <c r="A89" t="s">
        <v>94</v>
      </c>
      <c r="B89" t="s">
        <v>197</v>
      </c>
      <c r="C89" t="s">
        <v>200</v>
      </c>
      <c r="D89" t="s">
        <v>206</v>
      </c>
      <c r="E89">
        <v>6</v>
      </c>
      <c r="F89" t="s">
        <v>214</v>
      </c>
      <c r="G89" t="s">
        <v>302</v>
      </c>
      <c r="H89" t="s">
        <v>414</v>
      </c>
      <c r="I89" t="s">
        <v>422</v>
      </c>
      <c r="J89" t="s">
        <v>424</v>
      </c>
      <c r="K89" t="s">
        <v>426</v>
      </c>
      <c r="L89" s="4">
        <f t="shared" si="2"/>
        <v>1216.3799999999999</v>
      </c>
      <c r="M89" s="4">
        <v>202.73</v>
      </c>
    </row>
    <row r="90" spans="1:13" x14ac:dyDescent="0.3">
      <c r="A90" t="s">
        <v>95</v>
      </c>
      <c r="B90" t="s">
        <v>192</v>
      </c>
      <c r="C90" t="s">
        <v>201</v>
      </c>
      <c r="D90" t="s">
        <v>203</v>
      </c>
      <c r="E90">
        <v>3</v>
      </c>
      <c r="F90" t="s">
        <v>214</v>
      </c>
      <c r="G90" t="s">
        <v>303</v>
      </c>
      <c r="H90" t="s">
        <v>418</v>
      </c>
      <c r="I90" t="s">
        <v>422</v>
      </c>
      <c r="J90" t="s">
        <v>425</v>
      </c>
      <c r="K90" t="s">
        <v>432</v>
      </c>
      <c r="L90" s="4">
        <f t="shared" si="2"/>
        <v>461.88</v>
      </c>
      <c r="M90" s="4">
        <v>153.96</v>
      </c>
    </row>
    <row r="91" spans="1:13" x14ac:dyDescent="0.3">
      <c r="A91" t="s">
        <v>96</v>
      </c>
      <c r="B91" t="s">
        <v>196</v>
      </c>
      <c r="C91" t="s">
        <v>199</v>
      </c>
      <c r="D91" t="s">
        <v>209</v>
      </c>
      <c r="E91">
        <v>6</v>
      </c>
      <c r="F91" t="s">
        <v>213</v>
      </c>
      <c r="G91" t="s">
        <v>304</v>
      </c>
      <c r="H91" t="s">
        <v>417</v>
      </c>
      <c r="I91" t="s">
        <v>421</v>
      </c>
      <c r="J91" t="s">
        <v>424</v>
      </c>
      <c r="K91" t="s">
        <v>427</v>
      </c>
      <c r="L91" s="4">
        <f t="shared" si="2"/>
        <v>1858.1999999999998</v>
      </c>
      <c r="M91" s="4">
        <v>309.7</v>
      </c>
    </row>
    <row r="92" spans="1:13" x14ac:dyDescent="0.3">
      <c r="A92" t="s">
        <v>97</v>
      </c>
      <c r="B92" t="s">
        <v>195</v>
      </c>
      <c r="C92" t="s">
        <v>202</v>
      </c>
      <c r="D92" t="s">
        <v>205</v>
      </c>
      <c r="E92">
        <v>7</v>
      </c>
      <c r="F92" t="s">
        <v>213</v>
      </c>
      <c r="G92" t="s">
        <v>305</v>
      </c>
      <c r="H92" t="s">
        <v>414</v>
      </c>
      <c r="I92" t="s">
        <v>419</v>
      </c>
      <c r="J92" t="s">
        <v>424</v>
      </c>
      <c r="K92" t="s">
        <v>428</v>
      </c>
      <c r="L92" s="4">
        <f t="shared" si="2"/>
        <v>752.43</v>
      </c>
      <c r="M92" s="4">
        <v>107.49</v>
      </c>
    </row>
    <row r="93" spans="1:13" x14ac:dyDescent="0.3">
      <c r="A93" t="s">
        <v>98</v>
      </c>
      <c r="B93" t="s">
        <v>198</v>
      </c>
      <c r="C93" t="s">
        <v>202</v>
      </c>
      <c r="D93" t="s">
        <v>207</v>
      </c>
      <c r="E93">
        <v>3</v>
      </c>
      <c r="F93" t="s">
        <v>214</v>
      </c>
      <c r="G93" t="s">
        <v>306</v>
      </c>
      <c r="H93" t="s">
        <v>416</v>
      </c>
      <c r="I93" t="s">
        <v>421</v>
      </c>
      <c r="J93" t="s">
        <v>423</v>
      </c>
      <c r="K93" t="s">
        <v>432</v>
      </c>
      <c r="L93" s="4">
        <f t="shared" si="2"/>
        <v>884.09999999999991</v>
      </c>
      <c r="M93" s="4">
        <v>294.7</v>
      </c>
    </row>
    <row r="94" spans="1:13" x14ac:dyDescent="0.3">
      <c r="A94" t="s">
        <v>99</v>
      </c>
      <c r="B94" t="s">
        <v>198</v>
      </c>
      <c r="C94" t="s">
        <v>199</v>
      </c>
      <c r="D94" t="s">
        <v>207</v>
      </c>
      <c r="E94">
        <v>7</v>
      </c>
      <c r="F94" t="s">
        <v>210</v>
      </c>
      <c r="G94" t="s">
        <v>307</v>
      </c>
      <c r="H94" t="s">
        <v>414</v>
      </c>
      <c r="I94" t="s">
        <v>421</v>
      </c>
      <c r="J94" t="s">
        <v>424</v>
      </c>
      <c r="K94" t="s">
        <v>432</v>
      </c>
      <c r="L94" s="4">
        <f t="shared" si="2"/>
        <v>2478.56</v>
      </c>
      <c r="M94" s="4">
        <v>354.08</v>
      </c>
    </row>
    <row r="95" spans="1:13" x14ac:dyDescent="0.3">
      <c r="A95" t="s">
        <v>45</v>
      </c>
      <c r="B95" t="s">
        <v>192</v>
      </c>
      <c r="C95" t="s">
        <v>199</v>
      </c>
      <c r="D95" t="s">
        <v>207</v>
      </c>
      <c r="E95">
        <v>3</v>
      </c>
      <c r="F95" t="s">
        <v>214</v>
      </c>
      <c r="G95" t="s">
        <v>308</v>
      </c>
      <c r="H95" t="s">
        <v>417</v>
      </c>
      <c r="I95" t="s">
        <v>419</v>
      </c>
      <c r="J95" t="s">
        <v>424</v>
      </c>
      <c r="K95" t="s">
        <v>431</v>
      </c>
      <c r="L95" s="4">
        <f t="shared" si="2"/>
        <v>801.66000000000008</v>
      </c>
      <c r="M95" s="4">
        <v>267.22000000000003</v>
      </c>
    </row>
    <row r="96" spans="1:13" x14ac:dyDescent="0.3">
      <c r="A96" t="s">
        <v>100</v>
      </c>
      <c r="B96" t="s">
        <v>194</v>
      </c>
      <c r="C96" t="s">
        <v>199</v>
      </c>
      <c r="D96" t="s">
        <v>204</v>
      </c>
      <c r="E96">
        <v>7</v>
      </c>
      <c r="F96" t="s">
        <v>210</v>
      </c>
      <c r="G96" t="s">
        <v>309</v>
      </c>
      <c r="H96" t="s">
        <v>415</v>
      </c>
      <c r="I96" t="s">
        <v>420</v>
      </c>
      <c r="J96" t="s">
        <v>424</v>
      </c>
      <c r="K96" t="s">
        <v>432</v>
      </c>
      <c r="L96" s="4">
        <f t="shared" si="2"/>
        <v>1335.88</v>
      </c>
      <c r="M96" s="4">
        <v>190.84</v>
      </c>
    </row>
    <row r="97" spans="1:13" x14ac:dyDescent="0.3">
      <c r="A97" t="s">
        <v>101</v>
      </c>
      <c r="B97" t="s">
        <v>195</v>
      </c>
      <c r="C97" t="s">
        <v>199</v>
      </c>
      <c r="D97" t="s">
        <v>205</v>
      </c>
      <c r="E97">
        <v>5</v>
      </c>
      <c r="F97" t="s">
        <v>211</v>
      </c>
      <c r="G97" t="s">
        <v>310</v>
      </c>
      <c r="H97" t="s">
        <v>414</v>
      </c>
      <c r="I97" t="s">
        <v>421</v>
      </c>
      <c r="J97" t="s">
        <v>423</v>
      </c>
      <c r="K97" t="s">
        <v>428</v>
      </c>
      <c r="L97" s="4">
        <f t="shared" si="2"/>
        <v>1194.4499999999998</v>
      </c>
      <c r="M97" s="4">
        <v>238.89</v>
      </c>
    </row>
    <row r="98" spans="1:13" x14ac:dyDescent="0.3">
      <c r="A98" t="s">
        <v>102</v>
      </c>
      <c r="B98" t="s">
        <v>196</v>
      </c>
      <c r="C98" t="s">
        <v>202</v>
      </c>
      <c r="D98" t="s">
        <v>203</v>
      </c>
      <c r="E98">
        <v>2</v>
      </c>
      <c r="F98" t="s">
        <v>213</v>
      </c>
      <c r="G98" t="s">
        <v>311</v>
      </c>
      <c r="H98" t="s">
        <v>417</v>
      </c>
      <c r="I98" t="s">
        <v>419</v>
      </c>
      <c r="J98" t="s">
        <v>424</v>
      </c>
      <c r="K98" t="s">
        <v>432</v>
      </c>
      <c r="L98" s="4">
        <f t="shared" si="2"/>
        <v>90.56</v>
      </c>
      <c r="M98" s="4">
        <v>45.28</v>
      </c>
    </row>
    <row r="99" spans="1:13" x14ac:dyDescent="0.3">
      <c r="A99" t="s">
        <v>103</v>
      </c>
      <c r="B99" t="s">
        <v>193</v>
      </c>
      <c r="C99" t="s">
        <v>202</v>
      </c>
      <c r="D99" t="s">
        <v>204</v>
      </c>
      <c r="E99">
        <v>6</v>
      </c>
      <c r="F99" t="s">
        <v>214</v>
      </c>
      <c r="G99" t="s">
        <v>312</v>
      </c>
      <c r="H99" t="s">
        <v>417</v>
      </c>
      <c r="I99" t="s">
        <v>420</v>
      </c>
      <c r="J99" t="s">
        <v>423</v>
      </c>
      <c r="K99" t="s">
        <v>428</v>
      </c>
      <c r="L99" s="4">
        <f t="shared" si="2"/>
        <v>835.92</v>
      </c>
      <c r="M99" s="4">
        <v>139.32</v>
      </c>
    </row>
    <row r="100" spans="1:13" x14ac:dyDescent="0.3">
      <c r="A100" t="s">
        <v>104</v>
      </c>
      <c r="B100" t="s">
        <v>195</v>
      </c>
      <c r="C100" t="s">
        <v>199</v>
      </c>
      <c r="D100" t="s">
        <v>207</v>
      </c>
      <c r="E100">
        <v>7</v>
      </c>
      <c r="F100" t="s">
        <v>210</v>
      </c>
      <c r="G100" t="s">
        <v>313</v>
      </c>
      <c r="H100" t="s">
        <v>415</v>
      </c>
      <c r="I100" t="s">
        <v>421</v>
      </c>
      <c r="J100" t="s">
        <v>425</v>
      </c>
      <c r="K100" t="s">
        <v>432</v>
      </c>
      <c r="L100" s="4">
        <f t="shared" si="2"/>
        <v>2515.0300000000002</v>
      </c>
      <c r="M100" s="4">
        <v>359.29</v>
      </c>
    </row>
    <row r="101" spans="1:13" x14ac:dyDescent="0.3">
      <c r="A101" t="s">
        <v>105</v>
      </c>
      <c r="B101" t="s">
        <v>193</v>
      </c>
      <c r="C101" t="s">
        <v>200</v>
      </c>
      <c r="D101" t="s">
        <v>206</v>
      </c>
      <c r="E101">
        <v>1</v>
      </c>
      <c r="F101" t="s">
        <v>211</v>
      </c>
      <c r="G101" t="s">
        <v>314</v>
      </c>
      <c r="H101" t="s">
        <v>414</v>
      </c>
      <c r="I101" t="s">
        <v>422</v>
      </c>
      <c r="J101" t="s">
        <v>423</v>
      </c>
      <c r="K101" t="s">
        <v>428</v>
      </c>
      <c r="L101" s="4">
        <f t="shared" si="2"/>
        <v>160.26</v>
      </c>
      <c r="M101" s="4">
        <v>160.26</v>
      </c>
    </row>
    <row r="102" spans="1:13" x14ac:dyDescent="0.3">
      <c r="A102" t="s">
        <v>106</v>
      </c>
      <c r="B102" t="s">
        <v>191</v>
      </c>
      <c r="C102" t="s">
        <v>199</v>
      </c>
      <c r="D102" t="s">
        <v>207</v>
      </c>
      <c r="E102">
        <v>9</v>
      </c>
      <c r="F102" t="s">
        <v>214</v>
      </c>
      <c r="G102" t="s">
        <v>315</v>
      </c>
      <c r="H102" t="s">
        <v>415</v>
      </c>
      <c r="I102" t="s">
        <v>420</v>
      </c>
      <c r="J102" t="s">
        <v>423</v>
      </c>
      <c r="K102" t="s">
        <v>431</v>
      </c>
      <c r="L102" s="4">
        <f t="shared" si="2"/>
        <v>1763.19</v>
      </c>
      <c r="M102" s="4">
        <v>195.91</v>
      </c>
    </row>
    <row r="103" spans="1:13" x14ac:dyDescent="0.3">
      <c r="A103" t="s">
        <v>107</v>
      </c>
      <c r="B103" t="s">
        <v>193</v>
      </c>
      <c r="C103" t="s">
        <v>201</v>
      </c>
      <c r="D103" t="s">
        <v>209</v>
      </c>
      <c r="E103">
        <v>2</v>
      </c>
      <c r="F103" t="s">
        <v>212</v>
      </c>
      <c r="G103" t="s">
        <v>316</v>
      </c>
      <c r="H103" t="s">
        <v>417</v>
      </c>
      <c r="I103" t="s">
        <v>420</v>
      </c>
      <c r="J103" t="s">
        <v>425</v>
      </c>
      <c r="K103" t="s">
        <v>427</v>
      </c>
      <c r="L103" s="4">
        <f t="shared" si="2"/>
        <v>546.79999999999995</v>
      </c>
      <c r="M103" s="4">
        <v>273.39999999999998</v>
      </c>
    </row>
    <row r="104" spans="1:13" x14ac:dyDescent="0.3">
      <c r="A104" t="s">
        <v>52</v>
      </c>
      <c r="B104" t="s">
        <v>189</v>
      </c>
      <c r="C104" t="s">
        <v>201</v>
      </c>
      <c r="D104" t="s">
        <v>205</v>
      </c>
      <c r="E104">
        <v>5</v>
      </c>
      <c r="F104" t="s">
        <v>212</v>
      </c>
      <c r="G104" t="s">
        <v>317</v>
      </c>
      <c r="H104" t="s">
        <v>418</v>
      </c>
      <c r="I104" t="s">
        <v>420</v>
      </c>
      <c r="J104" t="s">
        <v>424</v>
      </c>
      <c r="K104" t="s">
        <v>429</v>
      </c>
      <c r="L104" s="4">
        <f t="shared" si="2"/>
        <v>392.8</v>
      </c>
      <c r="M104" s="4">
        <v>78.56</v>
      </c>
    </row>
    <row r="105" spans="1:13" x14ac:dyDescent="0.3">
      <c r="A105" t="s">
        <v>108</v>
      </c>
      <c r="B105" t="s">
        <v>190</v>
      </c>
      <c r="C105" t="s">
        <v>199</v>
      </c>
      <c r="D105" t="s">
        <v>208</v>
      </c>
      <c r="E105">
        <v>2</v>
      </c>
      <c r="F105" t="s">
        <v>211</v>
      </c>
      <c r="G105" t="s">
        <v>318</v>
      </c>
      <c r="H105" t="s">
        <v>415</v>
      </c>
      <c r="I105" t="s">
        <v>421</v>
      </c>
      <c r="J105" t="s">
        <v>425</v>
      </c>
      <c r="K105" t="s">
        <v>428</v>
      </c>
      <c r="L105" s="4">
        <f t="shared" si="2"/>
        <v>165.68</v>
      </c>
      <c r="M105" s="4">
        <v>82.84</v>
      </c>
    </row>
    <row r="106" spans="1:13" x14ac:dyDescent="0.3">
      <c r="A106" t="s">
        <v>109</v>
      </c>
      <c r="B106" t="s">
        <v>197</v>
      </c>
      <c r="C106" t="s">
        <v>200</v>
      </c>
      <c r="D106" t="s">
        <v>209</v>
      </c>
      <c r="E106">
        <v>10</v>
      </c>
      <c r="F106" t="s">
        <v>214</v>
      </c>
      <c r="G106" t="s">
        <v>319</v>
      </c>
      <c r="H106" t="s">
        <v>418</v>
      </c>
      <c r="I106" t="s">
        <v>419</v>
      </c>
      <c r="J106" t="s">
        <v>423</v>
      </c>
      <c r="K106" t="s">
        <v>432</v>
      </c>
      <c r="L106" s="4">
        <f t="shared" si="2"/>
        <v>2119.1</v>
      </c>
      <c r="M106" s="4">
        <v>211.91</v>
      </c>
    </row>
    <row r="107" spans="1:13" x14ac:dyDescent="0.3">
      <c r="A107" t="s">
        <v>110</v>
      </c>
      <c r="B107" t="s">
        <v>195</v>
      </c>
      <c r="C107" t="s">
        <v>199</v>
      </c>
      <c r="D107" t="s">
        <v>209</v>
      </c>
      <c r="E107">
        <v>2</v>
      </c>
      <c r="F107" t="s">
        <v>210</v>
      </c>
      <c r="G107" t="s">
        <v>320</v>
      </c>
      <c r="H107" t="s">
        <v>415</v>
      </c>
      <c r="I107" t="s">
        <v>419</v>
      </c>
      <c r="J107" t="s">
        <v>425</v>
      </c>
      <c r="K107" t="s">
        <v>427</v>
      </c>
      <c r="L107" s="4">
        <f t="shared" si="2"/>
        <v>655.38</v>
      </c>
      <c r="M107" s="4">
        <v>327.69</v>
      </c>
    </row>
    <row r="108" spans="1:13" x14ac:dyDescent="0.3">
      <c r="A108" t="s">
        <v>111</v>
      </c>
      <c r="B108" t="s">
        <v>192</v>
      </c>
      <c r="C108" t="s">
        <v>202</v>
      </c>
      <c r="D108" t="s">
        <v>207</v>
      </c>
      <c r="E108">
        <v>4</v>
      </c>
      <c r="F108" t="s">
        <v>212</v>
      </c>
      <c r="G108" t="s">
        <v>321</v>
      </c>
      <c r="H108" t="s">
        <v>417</v>
      </c>
      <c r="I108" t="s">
        <v>419</v>
      </c>
      <c r="J108" t="s">
        <v>425</v>
      </c>
      <c r="K108" t="s">
        <v>429</v>
      </c>
      <c r="L108" s="4">
        <f t="shared" si="2"/>
        <v>1341.64</v>
      </c>
      <c r="M108" s="4">
        <v>335.41</v>
      </c>
    </row>
    <row r="109" spans="1:13" x14ac:dyDescent="0.3">
      <c r="A109" t="s">
        <v>112</v>
      </c>
      <c r="B109" t="s">
        <v>191</v>
      </c>
      <c r="C109" t="s">
        <v>201</v>
      </c>
      <c r="D109" t="s">
        <v>204</v>
      </c>
      <c r="E109">
        <v>9</v>
      </c>
      <c r="F109" t="s">
        <v>213</v>
      </c>
      <c r="G109" t="s">
        <v>322</v>
      </c>
      <c r="H109" t="s">
        <v>416</v>
      </c>
      <c r="I109" t="s">
        <v>422</v>
      </c>
      <c r="J109" t="s">
        <v>424</v>
      </c>
      <c r="K109" t="s">
        <v>426</v>
      </c>
      <c r="L109" s="4">
        <f t="shared" si="2"/>
        <v>1185.8399999999999</v>
      </c>
      <c r="M109" s="4">
        <v>131.76</v>
      </c>
    </row>
    <row r="110" spans="1:13" x14ac:dyDescent="0.3">
      <c r="A110" t="s">
        <v>113</v>
      </c>
      <c r="B110" t="s">
        <v>198</v>
      </c>
      <c r="C110" t="s">
        <v>199</v>
      </c>
      <c r="D110" t="s">
        <v>207</v>
      </c>
      <c r="E110">
        <v>1</v>
      </c>
      <c r="F110" t="s">
        <v>210</v>
      </c>
      <c r="G110" t="s">
        <v>323</v>
      </c>
      <c r="H110" t="s">
        <v>416</v>
      </c>
      <c r="I110" t="s">
        <v>421</v>
      </c>
      <c r="J110" t="s">
        <v>424</v>
      </c>
      <c r="K110" t="s">
        <v>431</v>
      </c>
      <c r="L110" s="4">
        <f t="shared" si="2"/>
        <v>215.47</v>
      </c>
      <c r="M110" s="4">
        <v>215.47</v>
      </c>
    </row>
    <row r="111" spans="1:13" x14ac:dyDescent="0.3">
      <c r="A111" t="s">
        <v>114</v>
      </c>
      <c r="B111" t="s">
        <v>198</v>
      </c>
      <c r="C111" t="s">
        <v>199</v>
      </c>
      <c r="D111" t="s">
        <v>204</v>
      </c>
      <c r="E111">
        <v>6</v>
      </c>
      <c r="F111" t="s">
        <v>213</v>
      </c>
      <c r="G111" t="s">
        <v>324</v>
      </c>
      <c r="H111" t="s">
        <v>418</v>
      </c>
      <c r="I111" t="s">
        <v>422</v>
      </c>
      <c r="J111" t="s">
        <v>423</v>
      </c>
      <c r="K111" t="s">
        <v>426</v>
      </c>
      <c r="L111" s="4">
        <f t="shared" si="2"/>
        <v>1167.96</v>
      </c>
      <c r="M111" s="4">
        <v>194.66</v>
      </c>
    </row>
    <row r="112" spans="1:13" x14ac:dyDescent="0.3">
      <c r="A112" t="s">
        <v>115</v>
      </c>
      <c r="B112" t="s">
        <v>195</v>
      </c>
      <c r="C112" t="s">
        <v>202</v>
      </c>
      <c r="D112" t="s">
        <v>205</v>
      </c>
      <c r="E112">
        <v>1</v>
      </c>
      <c r="F112" t="s">
        <v>211</v>
      </c>
      <c r="G112" t="s">
        <v>325</v>
      </c>
      <c r="H112" t="s">
        <v>418</v>
      </c>
      <c r="I112" t="s">
        <v>422</v>
      </c>
      <c r="J112" t="s">
        <v>425</v>
      </c>
      <c r="K112" t="s">
        <v>428</v>
      </c>
      <c r="L112" s="4">
        <f t="shared" si="2"/>
        <v>308.26</v>
      </c>
      <c r="M112" s="4">
        <v>308.26</v>
      </c>
    </row>
    <row r="113" spans="1:13" x14ac:dyDescent="0.3">
      <c r="A113" t="s">
        <v>116</v>
      </c>
      <c r="B113" t="s">
        <v>195</v>
      </c>
      <c r="C113" t="s">
        <v>200</v>
      </c>
      <c r="D113" t="s">
        <v>209</v>
      </c>
      <c r="E113">
        <v>8</v>
      </c>
      <c r="F113" t="s">
        <v>212</v>
      </c>
      <c r="G113" t="s">
        <v>326</v>
      </c>
      <c r="H113" t="s">
        <v>415</v>
      </c>
      <c r="I113" t="s">
        <v>420</v>
      </c>
      <c r="J113" t="s">
        <v>423</v>
      </c>
      <c r="K113" t="s">
        <v>430</v>
      </c>
      <c r="L113" s="4">
        <f t="shared" si="2"/>
        <v>833.04</v>
      </c>
      <c r="M113" s="4">
        <v>104.13</v>
      </c>
    </row>
    <row r="114" spans="1:13" x14ac:dyDescent="0.3">
      <c r="A114" t="s">
        <v>117</v>
      </c>
      <c r="B114" t="s">
        <v>191</v>
      </c>
      <c r="C114" t="s">
        <v>199</v>
      </c>
      <c r="D114" t="s">
        <v>209</v>
      </c>
      <c r="E114">
        <v>7</v>
      </c>
      <c r="F114" t="s">
        <v>212</v>
      </c>
      <c r="G114" t="s">
        <v>327</v>
      </c>
      <c r="H114" t="s">
        <v>418</v>
      </c>
      <c r="I114" t="s">
        <v>421</v>
      </c>
      <c r="J114" t="s">
        <v>425</v>
      </c>
      <c r="K114" t="s">
        <v>428</v>
      </c>
      <c r="L114" s="4">
        <f t="shared" si="2"/>
        <v>2791.81</v>
      </c>
      <c r="M114" s="4">
        <v>398.83</v>
      </c>
    </row>
    <row r="115" spans="1:13" x14ac:dyDescent="0.3">
      <c r="A115" t="s">
        <v>118</v>
      </c>
      <c r="B115" t="s">
        <v>191</v>
      </c>
      <c r="C115" t="s">
        <v>200</v>
      </c>
      <c r="D115" t="s">
        <v>209</v>
      </c>
      <c r="E115">
        <v>7</v>
      </c>
      <c r="F115" t="s">
        <v>210</v>
      </c>
      <c r="G115" t="s">
        <v>328</v>
      </c>
      <c r="H115" t="s">
        <v>414</v>
      </c>
      <c r="I115" t="s">
        <v>422</v>
      </c>
      <c r="J115" t="s">
        <v>424</v>
      </c>
      <c r="K115" t="s">
        <v>432</v>
      </c>
      <c r="L115" s="4">
        <f t="shared" si="2"/>
        <v>368.76</v>
      </c>
      <c r="M115" s="4">
        <v>52.68</v>
      </c>
    </row>
    <row r="116" spans="1:13" x14ac:dyDescent="0.3">
      <c r="A116" t="s">
        <v>119</v>
      </c>
      <c r="B116" t="s">
        <v>198</v>
      </c>
      <c r="C116" t="s">
        <v>200</v>
      </c>
      <c r="D116" t="s">
        <v>207</v>
      </c>
      <c r="E116">
        <v>8</v>
      </c>
      <c r="F116" t="s">
        <v>211</v>
      </c>
      <c r="G116" t="s">
        <v>329</v>
      </c>
      <c r="H116" t="s">
        <v>418</v>
      </c>
      <c r="I116" t="s">
        <v>422</v>
      </c>
      <c r="J116" t="s">
        <v>425</v>
      </c>
      <c r="K116" t="s">
        <v>431</v>
      </c>
      <c r="L116" s="4">
        <f t="shared" si="2"/>
        <v>659.84</v>
      </c>
      <c r="M116" s="4">
        <v>82.48</v>
      </c>
    </row>
    <row r="117" spans="1:13" x14ac:dyDescent="0.3">
      <c r="A117" t="s">
        <v>120</v>
      </c>
      <c r="B117" t="s">
        <v>193</v>
      </c>
      <c r="C117" t="s">
        <v>202</v>
      </c>
      <c r="D117" t="s">
        <v>209</v>
      </c>
      <c r="E117">
        <v>10</v>
      </c>
      <c r="F117" t="s">
        <v>211</v>
      </c>
      <c r="G117" t="s">
        <v>330</v>
      </c>
      <c r="H117" t="s">
        <v>417</v>
      </c>
      <c r="I117" t="s">
        <v>421</v>
      </c>
      <c r="J117" t="s">
        <v>424</v>
      </c>
      <c r="K117" t="s">
        <v>427</v>
      </c>
      <c r="L117" s="4">
        <f t="shared" si="2"/>
        <v>3466.2</v>
      </c>
      <c r="M117" s="4">
        <v>346.62</v>
      </c>
    </row>
    <row r="118" spans="1:13" x14ac:dyDescent="0.3">
      <c r="A118" t="s">
        <v>121</v>
      </c>
      <c r="B118" t="s">
        <v>190</v>
      </c>
      <c r="C118" t="s">
        <v>199</v>
      </c>
      <c r="D118" t="s">
        <v>203</v>
      </c>
      <c r="E118">
        <v>9</v>
      </c>
      <c r="F118" t="s">
        <v>214</v>
      </c>
      <c r="G118" t="s">
        <v>331</v>
      </c>
      <c r="H118" t="s">
        <v>417</v>
      </c>
      <c r="I118" t="s">
        <v>421</v>
      </c>
      <c r="J118" t="s">
        <v>424</v>
      </c>
      <c r="K118" t="s">
        <v>428</v>
      </c>
      <c r="L118" s="4">
        <f t="shared" si="2"/>
        <v>2720.07</v>
      </c>
      <c r="M118" s="4">
        <v>302.23</v>
      </c>
    </row>
    <row r="119" spans="1:13" x14ac:dyDescent="0.3">
      <c r="A119" t="s">
        <v>13</v>
      </c>
      <c r="B119" t="s">
        <v>191</v>
      </c>
      <c r="C119" t="s">
        <v>199</v>
      </c>
      <c r="D119" t="s">
        <v>206</v>
      </c>
      <c r="E119">
        <v>10</v>
      </c>
      <c r="F119" t="s">
        <v>213</v>
      </c>
      <c r="G119" t="s">
        <v>332</v>
      </c>
      <c r="H119" t="s">
        <v>416</v>
      </c>
      <c r="I119" t="s">
        <v>420</v>
      </c>
      <c r="J119" t="s">
        <v>424</v>
      </c>
      <c r="K119" t="s">
        <v>427</v>
      </c>
      <c r="L119" s="4">
        <f t="shared" si="2"/>
        <v>3557.4</v>
      </c>
      <c r="M119" s="4">
        <v>355.74</v>
      </c>
    </row>
    <row r="120" spans="1:13" x14ac:dyDescent="0.3">
      <c r="A120" t="s">
        <v>122</v>
      </c>
      <c r="B120" t="s">
        <v>192</v>
      </c>
      <c r="C120" t="s">
        <v>199</v>
      </c>
      <c r="D120" t="s">
        <v>203</v>
      </c>
      <c r="E120">
        <v>4</v>
      </c>
      <c r="F120" t="s">
        <v>214</v>
      </c>
      <c r="G120" t="s">
        <v>333</v>
      </c>
      <c r="H120" t="s">
        <v>416</v>
      </c>
      <c r="I120" t="s">
        <v>419</v>
      </c>
      <c r="J120" t="s">
        <v>423</v>
      </c>
      <c r="K120" t="s">
        <v>428</v>
      </c>
      <c r="L120" s="4">
        <f t="shared" si="2"/>
        <v>1316.28</v>
      </c>
      <c r="M120" s="4">
        <v>329.07</v>
      </c>
    </row>
    <row r="121" spans="1:13" x14ac:dyDescent="0.3">
      <c r="A121" t="s">
        <v>123</v>
      </c>
      <c r="B121" t="s">
        <v>195</v>
      </c>
      <c r="C121" t="s">
        <v>201</v>
      </c>
      <c r="D121" t="s">
        <v>204</v>
      </c>
      <c r="E121">
        <v>4</v>
      </c>
      <c r="F121" t="s">
        <v>214</v>
      </c>
      <c r="G121" t="s">
        <v>334</v>
      </c>
      <c r="H121" t="s">
        <v>418</v>
      </c>
      <c r="I121" t="s">
        <v>420</v>
      </c>
      <c r="J121" t="s">
        <v>425</v>
      </c>
      <c r="K121" t="s">
        <v>427</v>
      </c>
      <c r="L121" s="4">
        <f t="shared" si="2"/>
        <v>871.56</v>
      </c>
      <c r="M121" s="4">
        <v>217.89</v>
      </c>
    </row>
    <row r="122" spans="1:13" x14ac:dyDescent="0.3">
      <c r="A122" t="s">
        <v>124</v>
      </c>
      <c r="B122" t="s">
        <v>198</v>
      </c>
      <c r="C122" t="s">
        <v>201</v>
      </c>
      <c r="D122" t="s">
        <v>209</v>
      </c>
      <c r="E122">
        <v>10</v>
      </c>
      <c r="F122" t="s">
        <v>212</v>
      </c>
      <c r="G122" t="s">
        <v>335</v>
      </c>
      <c r="H122" t="s">
        <v>414</v>
      </c>
      <c r="I122" t="s">
        <v>419</v>
      </c>
      <c r="J122" t="s">
        <v>425</v>
      </c>
      <c r="K122" t="s">
        <v>431</v>
      </c>
      <c r="L122" s="4">
        <f t="shared" si="2"/>
        <v>356.8</v>
      </c>
      <c r="M122" s="4">
        <v>35.68</v>
      </c>
    </row>
    <row r="123" spans="1:13" x14ac:dyDescent="0.3">
      <c r="A123" t="s">
        <v>125</v>
      </c>
      <c r="B123" t="s">
        <v>196</v>
      </c>
      <c r="C123" t="s">
        <v>202</v>
      </c>
      <c r="D123" t="s">
        <v>204</v>
      </c>
      <c r="E123">
        <v>10</v>
      </c>
      <c r="F123" t="s">
        <v>214</v>
      </c>
      <c r="G123" t="s">
        <v>336</v>
      </c>
      <c r="H123" t="s">
        <v>417</v>
      </c>
      <c r="I123" t="s">
        <v>422</v>
      </c>
      <c r="J123" t="s">
        <v>424</v>
      </c>
      <c r="K123" t="s">
        <v>431</v>
      </c>
      <c r="L123" s="4">
        <f t="shared" si="2"/>
        <v>3636.3</v>
      </c>
      <c r="M123" s="4">
        <v>363.63</v>
      </c>
    </row>
    <row r="124" spans="1:13" x14ac:dyDescent="0.3">
      <c r="A124" t="s">
        <v>126</v>
      </c>
      <c r="B124" t="s">
        <v>191</v>
      </c>
      <c r="C124" t="s">
        <v>202</v>
      </c>
      <c r="D124" t="s">
        <v>208</v>
      </c>
      <c r="E124">
        <v>8</v>
      </c>
      <c r="F124" t="s">
        <v>210</v>
      </c>
      <c r="G124" t="s">
        <v>337</v>
      </c>
      <c r="H124" t="s">
        <v>416</v>
      </c>
      <c r="I124" t="s">
        <v>422</v>
      </c>
      <c r="J124" t="s">
        <v>424</v>
      </c>
      <c r="K124" t="s">
        <v>429</v>
      </c>
      <c r="L124" s="4">
        <f t="shared" si="2"/>
        <v>1263.52</v>
      </c>
      <c r="M124" s="4">
        <v>157.94</v>
      </c>
    </row>
    <row r="125" spans="1:13" x14ac:dyDescent="0.3">
      <c r="A125" t="s">
        <v>127</v>
      </c>
      <c r="B125" t="s">
        <v>195</v>
      </c>
      <c r="C125" t="s">
        <v>201</v>
      </c>
      <c r="D125" t="s">
        <v>207</v>
      </c>
      <c r="E125">
        <v>10</v>
      </c>
      <c r="F125" t="s">
        <v>214</v>
      </c>
      <c r="G125" t="s">
        <v>338</v>
      </c>
      <c r="H125" t="s">
        <v>416</v>
      </c>
      <c r="I125" t="s">
        <v>421</v>
      </c>
      <c r="J125" t="s">
        <v>423</v>
      </c>
      <c r="K125" t="s">
        <v>432</v>
      </c>
      <c r="L125" s="4">
        <f t="shared" si="2"/>
        <v>3140.1</v>
      </c>
      <c r="M125" s="4">
        <v>314.01</v>
      </c>
    </row>
    <row r="126" spans="1:13" x14ac:dyDescent="0.3">
      <c r="A126" t="s">
        <v>128</v>
      </c>
      <c r="B126" t="s">
        <v>195</v>
      </c>
      <c r="C126" t="s">
        <v>202</v>
      </c>
      <c r="D126" t="s">
        <v>209</v>
      </c>
      <c r="E126">
        <v>4</v>
      </c>
      <c r="F126" t="s">
        <v>210</v>
      </c>
      <c r="G126" t="s">
        <v>339</v>
      </c>
      <c r="H126" t="s">
        <v>415</v>
      </c>
      <c r="I126" t="s">
        <v>420</v>
      </c>
      <c r="J126" t="s">
        <v>424</v>
      </c>
      <c r="K126" t="s">
        <v>427</v>
      </c>
      <c r="L126" s="4">
        <f t="shared" si="2"/>
        <v>797.6</v>
      </c>
      <c r="M126" s="4">
        <v>199.4</v>
      </c>
    </row>
    <row r="127" spans="1:13" x14ac:dyDescent="0.3">
      <c r="A127" t="s">
        <v>129</v>
      </c>
      <c r="B127" t="s">
        <v>196</v>
      </c>
      <c r="C127" t="s">
        <v>201</v>
      </c>
      <c r="D127" t="s">
        <v>207</v>
      </c>
      <c r="E127">
        <v>10</v>
      </c>
      <c r="F127" t="s">
        <v>211</v>
      </c>
      <c r="G127" t="s">
        <v>340</v>
      </c>
      <c r="H127" t="s">
        <v>416</v>
      </c>
      <c r="I127" t="s">
        <v>419</v>
      </c>
      <c r="J127" t="s">
        <v>423</v>
      </c>
      <c r="K127" t="s">
        <v>428</v>
      </c>
      <c r="L127" s="4">
        <f t="shared" si="2"/>
        <v>2545.2000000000003</v>
      </c>
      <c r="M127" s="4">
        <v>254.52</v>
      </c>
    </row>
    <row r="128" spans="1:13" x14ac:dyDescent="0.3">
      <c r="A128" t="s">
        <v>130</v>
      </c>
      <c r="B128" t="s">
        <v>190</v>
      </c>
      <c r="C128" t="s">
        <v>201</v>
      </c>
      <c r="D128" t="s">
        <v>206</v>
      </c>
      <c r="E128">
        <v>5</v>
      </c>
      <c r="F128" t="s">
        <v>211</v>
      </c>
      <c r="G128" t="s">
        <v>341</v>
      </c>
      <c r="H128" t="s">
        <v>414</v>
      </c>
      <c r="I128" t="s">
        <v>421</v>
      </c>
      <c r="J128" t="s">
        <v>424</v>
      </c>
      <c r="K128" t="s">
        <v>431</v>
      </c>
      <c r="L128" s="4">
        <f t="shared" si="2"/>
        <v>1885.3</v>
      </c>
      <c r="M128" s="4">
        <v>377.06</v>
      </c>
    </row>
    <row r="129" spans="1:13" x14ac:dyDescent="0.3">
      <c r="A129" t="s">
        <v>131</v>
      </c>
      <c r="B129" t="s">
        <v>197</v>
      </c>
      <c r="C129" t="s">
        <v>199</v>
      </c>
      <c r="D129" t="s">
        <v>203</v>
      </c>
      <c r="E129">
        <v>3</v>
      </c>
      <c r="F129" t="s">
        <v>212</v>
      </c>
      <c r="G129" t="s">
        <v>342</v>
      </c>
      <c r="H129" t="s">
        <v>414</v>
      </c>
      <c r="I129" t="s">
        <v>422</v>
      </c>
      <c r="J129" t="s">
        <v>423</v>
      </c>
      <c r="K129" t="s">
        <v>426</v>
      </c>
      <c r="L129" s="4">
        <f t="shared" si="2"/>
        <v>120.72</v>
      </c>
      <c r="M129" s="4">
        <v>40.24</v>
      </c>
    </row>
    <row r="130" spans="1:13" x14ac:dyDescent="0.3">
      <c r="A130" t="s">
        <v>132</v>
      </c>
      <c r="B130" t="s">
        <v>195</v>
      </c>
      <c r="C130" t="s">
        <v>202</v>
      </c>
      <c r="D130" t="s">
        <v>204</v>
      </c>
      <c r="E130">
        <v>1</v>
      </c>
      <c r="F130" t="s">
        <v>214</v>
      </c>
      <c r="G130" t="s">
        <v>343</v>
      </c>
      <c r="H130" t="s">
        <v>417</v>
      </c>
      <c r="I130" t="s">
        <v>422</v>
      </c>
      <c r="J130" t="s">
        <v>423</v>
      </c>
      <c r="K130" t="s">
        <v>430</v>
      </c>
      <c r="L130" s="4">
        <f t="shared" si="2"/>
        <v>347.26</v>
      </c>
      <c r="M130" s="4">
        <v>347.26</v>
      </c>
    </row>
    <row r="131" spans="1:13" x14ac:dyDescent="0.3">
      <c r="A131" t="s">
        <v>17</v>
      </c>
      <c r="B131" t="s">
        <v>195</v>
      </c>
      <c r="C131" t="s">
        <v>199</v>
      </c>
      <c r="D131" t="s">
        <v>203</v>
      </c>
      <c r="E131">
        <v>2</v>
      </c>
      <c r="F131" t="s">
        <v>210</v>
      </c>
      <c r="G131" t="s">
        <v>344</v>
      </c>
      <c r="H131" t="s">
        <v>415</v>
      </c>
      <c r="I131" t="s">
        <v>422</v>
      </c>
      <c r="J131" t="s">
        <v>425</v>
      </c>
      <c r="K131" t="s">
        <v>426</v>
      </c>
      <c r="L131" s="4">
        <f t="shared" ref="L131:L194" si="3">PRODUCT(M131,E131)</f>
        <v>458.9</v>
      </c>
      <c r="M131" s="4">
        <v>229.45</v>
      </c>
    </row>
    <row r="132" spans="1:13" x14ac:dyDescent="0.3">
      <c r="A132" t="s">
        <v>133</v>
      </c>
      <c r="B132" t="s">
        <v>190</v>
      </c>
      <c r="C132" t="s">
        <v>199</v>
      </c>
      <c r="D132" t="s">
        <v>207</v>
      </c>
      <c r="E132">
        <v>1</v>
      </c>
      <c r="F132" t="s">
        <v>212</v>
      </c>
      <c r="G132" t="s">
        <v>345</v>
      </c>
      <c r="H132" t="s">
        <v>414</v>
      </c>
      <c r="I132" t="s">
        <v>422</v>
      </c>
      <c r="J132" t="s">
        <v>423</v>
      </c>
      <c r="K132" t="s">
        <v>432</v>
      </c>
      <c r="L132" s="4">
        <f t="shared" si="3"/>
        <v>31.5</v>
      </c>
      <c r="M132" s="4">
        <v>31.5</v>
      </c>
    </row>
    <row r="133" spans="1:13" x14ac:dyDescent="0.3">
      <c r="A133" t="s">
        <v>134</v>
      </c>
      <c r="B133" t="s">
        <v>191</v>
      </c>
      <c r="C133" t="s">
        <v>202</v>
      </c>
      <c r="D133" t="s">
        <v>209</v>
      </c>
      <c r="E133">
        <v>2</v>
      </c>
      <c r="F133" t="s">
        <v>214</v>
      </c>
      <c r="G133" t="s">
        <v>346</v>
      </c>
      <c r="H133" t="s">
        <v>415</v>
      </c>
      <c r="I133" t="s">
        <v>421</v>
      </c>
      <c r="J133" t="s">
        <v>423</v>
      </c>
      <c r="K133" t="s">
        <v>430</v>
      </c>
      <c r="L133" s="4">
        <f t="shared" si="3"/>
        <v>240</v>
      </c>
      <c r="M133" s="4">
        <v>120</v>
      </c>
    </row>
    <row r="134" spans="1:13" x14ac:dyDescent="0.3">
      <c r="A134" t="s">
        <v>135</v>
      </c>
      <c r="B134" t="s">
        <v>189</v>
      </c>
      <c r="C134" t="s">
        <v>200</v>
      </c>
      <c r="D134" t="s">
        <v>206</v>
      </c>
      <c r="E134">
        <v>7</v>
      </c>
      <c r="F134" t="s">
        <v>214</v>
      </c>
      <c r="G134" t="s">
        <v>347</v>
      </c>
      <c r="H134" t="s">
        <v>416</v>
      </c>
      <c r="I134" t="s">
        <v>422</v>
      </c>
      <c r="J134" t="s">
        <v>423</v>
      </c>
      <c r="K134" t="s">
        <v>432</v>
      </c>
      <c r="L134" s="4">
        <f t="shared" si="3"/>
        <v>886.82999999999993</v>
      </c>
      <c r="M134" s="4">
        <v>126.69</v>
      </c>
    </row>
    <row r="135" spans="1:13" x14ac:dyDescent="0.3">
      <c r="A135" t="s">
        <v>136</v>
      </c>
      <c r="B135" t="s">
        <v>190</v>
      </c>
      <c r="C135" t="s">
        <v>200</v>
      </c>
      <c r="D135" t="s">
        <v>204</v>
      </c>
      <c r="E135">
        <v>6</v>
      </c>
      <c r="F135" t="s">
        <v>213</v>
      </c>
      <c r="G135" t="s">
        <v>348</v>
      </c>
      <c r="H135" t="s">
        <v>417</v>
      </c>
      <c r="I135" t="s">
        <v>421</v>
      </c>
      <c r="J135" t="s">
        <v>423</v>
      </c>
      <c r="K135" t="s">
        <v>427</v>
      </c>
      <c r="L135" s="4">
        <f t="shared" si="3"/>
        <v>1328.58</v>
      </c>
      <c r="M135" s="4">
        <v>221.43</v>
      </c>
    </row>
    <row r="136" spans="1:13" x14ac:dyDescent="0.3">
      <c r="A136" t="s">
        <v>137</v>
      </c>
      <c r="B136" t="s">
        <v>195</v>
      </c>
      <c r="C136" t="s">
        <v>199</v>
      </c>
      <c r="D136" t="s">
        <v>206</v>
      </c>
      <c r="E136">
        <v>8</v>
      </c>
      <c r="F136" t="s">
        <v>213</v>
      </c>
      <c r="G136" t="s">
        <v>349</v>
      </c>
      <c r="H136" t="s">
        <v>415</v>
      </c>
      <c r="I136" t="s">
        <v>421</v>
      </c>
      <c r="J136" t="s">
        <v>424</v>
      </c>
      <c r="K136" t="s">
        <v>428</v>
      </c>
      <c r="L136" s="4">
        <f t="shared" si="3"/>
        <v>2860</v>
      </c>
      <c r="M136" s="4">
        <v>357.5</v>
      </c>
    </row>
    <row r="137" spans="1:13" x14ac:dyDescent="0.3">
      <c r="A137" t="s">
        <v>138</v>
      </c>
      <c r="B137" t="s">
        <v>190</v>
      </c>
      <c r="C137" t="s">
        <v>200</v>
      </c>
      <c r="D137" t="s">
        <v>206</v>
      </c>
      <c r="E137">
        <v>1</v>
      </c>
      <c r="F137" t="s">
        <v>212</v>
      </c>
      <c r="G137" t="s">
        <v>350</v>
      </c>
      <c r="H137" t="s">
        <v>417</v>
      </c>
      <c r="I137" t="s">
        <v>422</v>
      </c>
      <c r="J137" t="s">
        <v>423</v>
      </c>
      <c r="K137" t="s">
        <v>429</v>
      </c>
      <c r="L137" s="4">
        <f t="shared" si="3"/>
        <v>256.49</v>
      </c>
      <c r="M137" s="4">
        <v>256.49</v>
      </c>
    </row>
    <row r="138" spans="1:13" x14ac:dyDescent="0.3">
      <c r="A138" t="s">
        <v>139</v>
      </c>
      <c r="B138" t="s">
        <v>189</v>
      </c>
      <c r="C138" t="s">
        <v>201</v>
      </c>
      <c r="D138" t="s">
        <v>207</v>
      </c>
      <c r="E138">
        <v>2</v>
      </c>
      <c r="F138" t="s">
        <v>213</v>
      </c>
      <c r="G138" t="s">
        <v>351</v>
      </c>
      <c r="H138" t="s">
        <v>415</v>
      </c>
      <c r="I138" t="s">
        <v>420</v>
      </c>
      <c r="J138" t="s">
        <v>423</v>
      </c>
      <c r="K138" t="s">
        <v>428</v>
      </c>
      <c r="L138" s="4">
        <f t="shared" si="3"/>
        <v>607.29999999999995</v>
      </c>
      <c r="M138" s="4">
        <v>303.64999999999998</v>
      </c>
    </row>
    <row r="139" spans="1:13" x14ac:dyDescent="0.3">
      <c r="A139" t="s">
        <v>140</v>
      </c>
      <c r="B139" t="s">
        <v>193</v>
      </c>
      <c r="C139" t="s">
        <v>201</v>
      </c>
      <c r="D139" t="s">
        <v>205</v>
      </c>
      <c r="E139">
        <v>7</v>
      </c>
      <c r="F139" t="s">
        <v>211</v>
      </c>
      <c r="G139" t="s">
        <v>352</v>
      </c>
      <c r="H139" t="s">
        <v>414</v>
      </c>
      <c r="I139" t="s">
        <v>419</v>
      </c>
      <c r="J139" t="s">
        <v>423</v>
      </c>
      <c r="K139" t="s">
        <v>426</v>
      </c>
      <c r="L139" s="4">
        <f t="shared" si="3"/>
        <v>1784.23</v>
      </c>
      <c r="M139" s="4">
        <v>254.89</v>
      </c>
    </row>
    <row r="140" spans="1:13" x14ac:dyDescent="0.3">
      <c r="A140" t="s">
        <v>141</v>
      </c>
      <c r="B140" t="s">
        <v>194</v>
      </c>
      <c r="C140" t="s">
        <v>202</v>
      </c>
      <c r="D140" t="s">
        <v>208</v>
      </c>
      <c r="E140">
        <v>9</v>
      </c>
      <c r="F140" t="s">
        <v>210</v>
      </c>
      <c r="G140" t="s">
        <v>353</v>
      </c>
      <c r="H140" t="s">
        <v>416</v>
      </c>
      <c r="I140" t="s">
        <v>422</v>
      </c>
      <c r="J140" t="s">
        <v>423</v>
      </c>
      <c r="K140" t="s">
        <v>429</v>
      </c>
      <c r="L140" s="4">
        <f t="shared" si="3"/>
        <v>921.42</v>
      </c>
      <c r="M140" s="4">
        <v>102.38</v>
      </c>
    </row>
    <row r="141" spans="1:13" x14ac:dyDescent="0.3">
      <c r="A141" t="s">
        <v>142</v>
      </c>
      <c r="B141" t="s">
        <v>196</v>
      </c>
      <c r="C141" t="s">
        <v>199</v>
      </c>
      <c r="D141" t="s">
        <v>205</v>
      </c>
      <c r="E141">
        <v>10</v>
      </c>
      <c r="F141" t="s">
        <v>211</v>
      </c>
      <c r="G141" t="s">
        <v>354</v>
      </c>
      <c r="H141" t="s">
        <v>418</v>
      </c>
      <c r="I141" t="s">
        <v>419</v>
      </c>
      <c r="J141" t="s">
        <v>425</v>
      </c>
      <c r="K141" t="s">
        <v>426</v>
      </c>
      <c r="L141" s="4">
        <f t="shared" si="3"/>
        <v>3806.3</v>
      </c>
      <c r="M141" s="4">
        <v>380.63</v>
      </c>
    </row>
    <row r="142" spans="1:13" x14ac:dyDescent="0.3">
      <c r="A142" t="s">
        <v>143</v>
      </c>
      <c r="B142" t="s">
        <v>194</v>
      </c>
      <c r="C142" t="s">
        <v>200</v>
      </c>
      <c r="D142" t="s">
        <v>206</v>
      </c>
      <c r="E142">
        <v>5</v>
      </c>
      <c r="F142" t="s">
        <v>213</v>
      </c>
      <c r="G142" t="s">
        <v>355</v>
      </c>
      <c r="H142" t="s">
        <v>417</v>
      </c>
      <c r="I142" t="s">
        <v>422</v>
      </c>
      <c r="J142" t="s">
        <v>423</v>
      </c>
      <c r="K142" t="s">
        <v>430</v>
      </c>
      <c r="L142" s="4">
        <f t="shared" si="3"/>
        <v>1262.0999999999999</v>
      </c>
      <c r="M142" s="4">
        <v>252.42</v>
      </c>
    </row>
    <row r="143" spans="1:13" x14ac:dyDescent="0.3">
      <c r="A143" t="s">
        <v>144</v>
      </c>
      <c r="B143" t="s">
        <v>189</v>
      </c>
      <c r="C143" t="s">
        <v>199</v>
      </c>
      <c r="D143" t="s">
        <v>208</v>
      </c>
      <c r="E143">
        <v>3</v>
      </c>
      <c r="F143" t="s">
        <v>210</v>
      </c>
      <c r="G143" t="s">
        <v>356</v>
      </c>
      <c r="H143" t="s">
        <v>415</v>
      </c>
      <c r="I143" t="s">
        <v>420</v>
      </c>
      <c r="J143" t="s">
        <v>424</v>
      </c>
      <c r="K143" t="s">
        <v>430</v>
      </c>
      <c r="L143" s="4">
        <f t="shared" si="3"/>
        <v>621.99</v>
      </c>
      <c r="M143" s="4">
        <v>207.33</v>
      </c>
    </row>
    <row r="144" spans="1:13" x14ac:dyDescent="0.3">
      <c r="A144" t="s">
        <v>145</v>
      </c>
      <c r="B144" t="s">
        <v>189</v>
      </c>
      <c r="C144" t="s">
        <v>200</v>
      </c>
      <c r="D144" t="s">
        <v>209</v>
      </c>
      <c r="E144">
        <v>3</v>
      </c>
      <c r="F144" t="s">
        <v>211</v>
      </c>
      <c r="G144" t="s">
        <v>357</v>
      </c>
      <c r="H144" t="s">
        <v>416</v>
      </c>
      <c r="I144" t="s">
        <v>421</v>
      </c>
      <c r="J144" t="s">
        <v>423</v>
      </c>
      <c r="K144" t="s">
        <v>426</v>
      </c>
      <c r="L144" s="4">
        <f t="shared" si="3"/>
        <v>808.29</v>
      </c>
      <c r="M144" s="4">
        <v>269.43</v>
      </c>
    </row>
    <row r="145" spans="1:13" x14ac:dyDescent="0.3">
      <c r="A145" t="s">
        <v>90</v>
      </c>
      <c r="B145" t="s">
        <v>197</v>
      </c>
      <c r="C145" t="s">
        <v>201</v>
      </c>
      <c r="D145" t="s">
        <v>203</v>
      </c>
      <c r="E145">
        <v>1</v>
      </c>
      <c r="F145" t="s">
        <v>214</v>
      </c>
      <c r="G145" t="s">
        <v>358</v>
      </c>
      <c r="H145" t="s">
        <v>418</v>
      </c>
      <c r="I145" t="s">
        <v>422</v>
      </c>
      <c r="J145" t="s">
        <v>423</v>
      </c>
      <c r="K145" t="s">
        <v>429</v>
      </c>
      <c r="L145" s="4">
        <f t="shared" si="3"/>
        <v>366.47</v>
      </c>
      <c r="M145" s="4">
        <v>366.47</v>
      </c>
    </row>
    <row r="146" spans="1:13" x14ac:dyDescent="0.3">
      <c r="A146" t="s">
        <v>146</v>
      </c>
      <c r="B146" t="s">
        <v>196</v>
      </c>
      <c r="C146" t="s">
        <v>202</v>
      </c>
      <c r="D146" t="s">
        <v>208</v>
      </c>
      <c r="E146">
        <v>3</v>
      </c>
      <c r="F146" t="s">
        <v>211</v>
      </c>
      <c r="G146" t="s">
        <v>359</v>
      </c>
      <c r="H146" t="s">
        <v>414</v>
      </c>
      <c r="I146" t="s">
        <v>419</v>
      </c>
      <c r="J146" t="s">
        <v>425</v>
      </c>
      <c r="K146" t="s">
        <v>426</v>
      </c>
      <c r="L146" s="4">
        <f t="shared" si="3"/>
        <v>542.88</v>
      </c>
      <c r="M146" s="4">
        <v>180.96</v>
      </c>
    </row>
    <row r="147" spans="1:13" x14ac:dyDescent="0.3">
      <c r="A147" t="s">
        <v>147</v>
      </c>
      <c r="B147" t="s">
        <v>196</v>
      </c>
      <c r="C147" t="s">
        <v>201</v>
      </c>
      <c r="D147" t="s">
        <v>209</v>
      </c>
      <c r="E147">
        <v>4</v>
      </c>
      <c r="F147" t="s">
        <v>212</v>
      </c>
      <c r="G147" t="s">
        <v>360</v>
      </c>
      <c r="H147" t="s">
        <v>417</v>
      </c>
      <c r="I147" t="s">
        <v>419</v>
      </c>
      <c r="J147" t="s">
        <v>425</v>
      </c>
      <c r="K147" t="s">
        <v>426</v>
      </c>
      <c r="L147" s="4">
        <f t="shared" si="3"/>
        <v>269.56</v>
      </c>
      <c r="M147" s="4">
        <v>67.39</v>
      </c>
    </row>
    <row r="148" spans="1:13" x14ac:dyDescent="0.3">
      <c r="A148" t="s">
        <v>148</v>
      </c>
      <c r="B148" t="s">
        <v>190</v>
      </c>
      <c r="C148" t="s">
        <v>201</v>
      </c>
      <c r="D148" t="s">
        <v>207</v>
      </c>
      <c r="E148">
        <v>4</v>
      </c>
      <c r="F148" t="s">
        <v>214</v>
      </c>
      <c r="G148" t="s">
        <v>361</v>
      </c>
      <c r="H148" t="s">
        <v>417</v>
      </c>
      <c r="I148" t="s">
        <v>420</v>
      </c>
      <c r="J148" t="s">
        <v>423</v>
      </c>
      <c r="K148" t="s">
        <v>430</v>
      </c>
      <c r="L148" s="4">
        <f t="shared" si="3"/>
        <v>1251.52</v>
      </c>
      <c r="M148" s="4">
        <v>312.88</v>
      </c>
    </row>
    <row r="149" spans="1:13" x14ac:dyDescent="0.3">
      <c r="A149" t="s">
        <v>149</v>
      </c>
      <c r="B149" t="s">
        <v>194</v>
      </c>
      <c r="C149" t="s">
        <v>199</v>
      </c>
      <c r="D149" t="s">
        <v>204</v>
      </c>
      <c r="E149">
        <v>10</v>
      </c>
      <c r="F149" t="s">
        <v>210</v>
      </c>
      <c r="G149" t="s">
        <v>362</v>
      </c>
      <c r="H149" t="s">
        <v>417</v>
      </c>
      <c r="I149" t="s">
        <v>419</v>
      </c>
      <c r="J149" t="s">
        <v>424</v>
      </c>
      <c r="K149" t="s">
        <v>428</v>
      </c>
      <c r="L149" s="4">
        <f t="shared" si="3"/>
        <v>3125.1</v>
      </c>
      <c r="M149" s="4">
        <v>312.51</v>
      </c>
    </row>
    <row r="150" spans="1:13" x14ac:dyDescent="0.3">
      <c r="A150" t="s">
        <v>150</v>
      </c>
      <c r="B150" t="s">
        <v>193</v>
      </c>
      <c r="C150" t="s">
        <v>201</v>
      </c>
      <c r="D150" t="s">
        <v>205</v>
      </c>
      <c r="E150">
        <v>6</v>
      </c>
      <c r="F150" t="s">
        <v>212</v>
      </c>
      <c r="G150" t="s">
        <v>363</v>
      </c>
      <c r="H150" t="s">
        <v>414</v>
      </c>
      <c r="I150" t="s">
        <v>421</v>
      </c>
      <c r="J150" t="s">
        <v>424</v>
      </c>
      <c r="K150" t="s">
        <v>432</v>
      </c>
      <c r="L150" s="4">
        <f t="shared" si="3"/>
        <v>405.65999999999997</v>
      </c>
      <c r="M150" s="4">
        <v>67.61</v>
      </c>
    </row>
    <row r="151" spans="1:13" x14ac:dyDescent="0.3">
      <c r="A151" t="s">
        <v>151</v>
      </c>
      <c r="B151" t="s">
        <v>195</v>
      </c>
      <c r="C151" t="s">
        <v>199</v>
      </c>
      <c r="D151" t="s">
        <v>207</v>
      </c>
      <c r="E151">
        <v>6</v>
      </c>
      <c r="F151" t="s">
        <v>211</v>
      </c>
      <c r="G151" t="s">
        <v>364</v>
      </c>
      <c r="H151" t="s">
        <v>416</v>
      </c>
      <c r="I151" t="s">
        <v>419</v>
      </c>
      <c r="J151" t="s">
        <v>423</v>
      </c>
      <c r="K151" t="s">
        <v>429</v>
      </c>
      <c r="L151" s="4">
        <f t="shared" si="3"/>
        <v>353.52</v>
      </c>
      <c r="M151" s="4">
        <v>58.92</v>
      </c>
    </row>
    <row r="152" spans="1:13" x14ac:dyDescent="0.3">
      <c r="A152" t="s">
        <v>27</v>
      </c>
      <c r="B152" t="s">
        <v>190</v>
      </c>
      <c r="C152" t="s">
        <v>199</v>
      </c>
      <c r="D152" t="s">
        <v>207</v>
      </c>
      <c r="E152">
        <v>7</v>
      </c>
      <c r="F152" t="s">
        <v>210</v>
      </c>
      <c r="G152" t="s">
        <v>365</v>
      </c>
      <c r="H152" t="s">
        <v>416</v>
      </c>
      <c r="I152" t="s">
        <v>421</v>
      </c>
      <c r="J152" t="s">
        <v>425</v>
      </c>
      <c r="K152" t="s">
        <v>427</v>
      </c>
      <c r="L152" s="4">
        <f t="shared" si="3"/>
        <v>1615.18</v>
      </c>
      <c r="M152" s="4">
        <v>230.74</v>
      </c>
    </row>
    <row r="153" spans="1:13" x14ac:dyDescent="0.3">
      <c r="A153" t="s">
        <v>152</v>
      </c>
      <c r="B153" t="s">
        <v>198</v>
      </c>
      <c r="C153" t="s">
        <v>202</v>
      </c>
      <c r="D153" t="s">
        <v>208</v>
      </c>
      <c r="E153">
        <v>10</v>
      </c>
      <c r="F153" t="s">
        <v>214</v>
      </c>
      <c r="G153" t="s">
        <v>366</v>
      </c>
      <c r="H153" t="s">
        <v>416</v>
      </c>
      <c r="I153" t="s">
        <v>419</v>
      </c>
      <c r="J153" t="s">
        <v>425</v>
      </c>
      <c r="K153" t="s">
        <v>430</v>
      </c>
      <c r="L153" s="4">
        <f t="shared" si="3"/>
        <v>194.89999999999998</v>
      </c>
      <c r="M153" s="4">
        <v>19.489999999999998</v>
      </c>
    </row>
    <row r="154" spans="1:13" x14ac:dyDescent="0.3">
      <c r="A154" t="s">
        <v>31</v>
      </c>
      <c r="B154" t="s">
        <v>194</v>
      </c>
      <c r="C154" t="s">
        <v>199</v>
      </c>
      <c r="D154" t="s">
        <v>205</v>
      </c>
      <c r="E154">
        <v>2</v>
      </c>
      <c r="F154" t="s">
        <v>212</v>
      </c>
      <c r="G154" t="s">
        <v>367</v>
      </c>
      <c r="H154" t="s">
        <v>418</v>
      </c>
      <c r="I154" t="s">
        <v>421</v>
      </c>
      <c r="J154" t="s">
        <v>425</v>
      </c>
      <c r="K154" t="s">
        <v>429</v>
      </c>
      <c r="L154" s="4">
        <f t="shared" si="3"/>
        <v>746.06</v>
      </c>
      <c r="M154" s="4">
        <v>373.03</v>
      </c>
    </row>
    <row r="155" spans="1:13" x14ac:dyDescent="0.3">
      <c r="A155" t="s">
        <v>51</v>
      </c>
      <c r="B155" t="s">
        <v>192</v>
      </c>
      <c r="C155" t="s">
        <v>202</v>
      </c>
      <c r="D155" t="s">
        <v>207</v>
      </c>
      <c r="E155">
        <v>6</v>
      </c>
      <c r="F155" t="s">
        <v>211</v>
      </c>
      <c r="G155" t="s">
        <v>368</v>
      </c>
      <c r="H155" t="s">
        <v>418</v>
      </c>
      <c r="I155" t="s">
        <v>419</v>
      </c>
      <c r="J155" t="s">
        <v>423</v>
      </c>
      <c r="K155" t="s">
        <v>429</v>
      </c>
      <c r="L155" s="4">
        <f t="shared" si="3"/>
        <v>2029.1999999999998</v>
      </c>
      <c r="M155" s="4">
        <v>338.2</v>
      </c>
    </row>
    <row r="156" spans="1:13" x14ac:dyDescent="0.3">
      <c r="A156" t="s">
        <v>153</v>
      </c>
      <c r="B156" t="s">
        <v>192</v>
      </c>
      <c r="C156" t="s">
        <v>202</v>
      </c>
      <c r="D156" t="s">
        <v>208</v>
      </c>
      <c r="E156">
        <v>1</v>
      </c>
      <c r="F156" t="s">
        <v>210</v>
      </c>
      <c r="G156" t="s">
        <v>369</v>
      </c>
      <c r="H156" t="s">
        <v>416</v>
      </c>
      <c r="I156" t="s">
        <v>421</v>
      </c>
      <c r="J156" t="s">
        <v>423</v>
      </c>
      <c r="K156" t="s">
        <v>430</v>
      </c>
      <c r="L156" s="4">
        <f t="shared" si="3"/>
        <v>8.0500000000000007</v>
      </c>
      <c r="M156" s="4">
        <v>8.0500000000000007</v>
      </c>
    </row>
    <row r="157" spans="1:13" x14ac:dyDescent="0.3">
      <c r="A157" t="s">
        <v>154</v>
      </c>
      <c r="B157" t="s">
        <v>189</v>
      </c>
      <c r="C157" t="s">
        <v>199</v>
      </c>
      <c r="D157" t="s">
        <v>205</v>
      </c>
      <c r="E157">
        <v>4</v>
      </c>
      <c r="F157" t="s">
        <v>210</v>
      </c>
      <c r="G157" t="s">
        <v>370</v>
      </c>
      <c r="H157" t="s">
        <v>415</v>
      </c>
      <c r="I157" t="s">
        <v>422</v>
      </c>
      <c r="J157" t="s">
        <v>425</v>
      </c>
      <c r="K157" t="s">
        <v>428</v>
      </c>
      <c r="L157" s="4">
        <f t="shared" si="3"/>
        <v>1243</v>
      </c>
      <c r="M157" s="4">
        <v>310.75</v>
      </c>
    </row>
    <row r="158" spans="1:13" x14ac:dyDescent="0.3">
      <c r="A158" t="s">
        <v>155</v>
      </c>
      <c r="B158" t="s">
        <v>196</v>
      </c>
      <c r="C158" t="s">
        <v>201</v>
      </c>
      <c r="D158" t="s">
        <v>209</v>
      </c>
      <c r="E158">
        <v>3</v>
      </c>
      <c r="F158" t="s">
        <v>210</v>
      </c>
      <c r="G158" t="s">
        <v>371</v>
      </c>
      <c r="H158" t="s">
        <v>414</v>
      </c>
      <c r="I158" t="s">
        <v>422</v>
      </c>
      <c r="J158" t="s">
        <v>424</v>
      </c>
      <c r="K158" t="s">
        <v>428</v>
      </c>
      <c r="L158" s="4">
        <f t="shared" si="3"/>
        <v>230.76</v>
      </c>
      <c r="M158" s="4">
        <v>76.92</v>
      </c>
    </row>
    <row r="159" spans="1:13" x14ac:dyDescent="0.3">
      <c r="A159" t="s">
        <v>156</v>
      </c>
      <c r="B159" t="s">
        <v>191</v>
      </c>
      <c r="C159" t="s">
        <v>202</v>
      </c>
      <c r="D159" t="s">
        <v>209</v>
      </c>
      <c r="E159">
        <v>10</v>
      </c>
      <c r="F159" t="s">
        <v>211</v>
      </c>
      <c r="G159" t="s">
        <v>372</v>
      </c>
      <c r="H159" t="s">
        <v>414</v>
      </c>
      <c r="I159" t="s">
        <v>421</v>
      </c>
      <c r="J159" t="s">
        <v>424</v>
      </c>
      <c r="K159" t="s">
        <v>431</v>
      </c>
      <c r="L159" s="4">
        <f t="shared" si="3"/>
        <v>334.6</v>
      </c>
      <c r="M159" s="4">
        <v>33.46</v>
      </c>
    </row>
    <row r="160" spans="1:13" x14ac:dyDescent="0.3">
      <c r="A160" t="s">
        <v>157</v>
      </c>
      <c r="B160" t="s">
        <v>198</v>
      </c>
      <c r="C160" t="s">
        <v>200</v>
      </c>
      <c r="D160" t="s">
        <v>204</v>
      </c>
      <c r="E160">
        <v>10</v>
      </c>
      <c r="F160" t="s">
        <v>213</v>
      </c>
      <c r="G160" t="s">
        <v>373</v>
      </c>
      <c r="H160" t="s">
        <v>415</v>
      </c>
      <c r="I160" t="s">
        <v>420</v>
      </c>
      <c r="J160" t="s">
        <v>425</v>
      </c>
      <c r="K160" t="s">
        <v>430</v>
      </c>
      <c r="L160" s="4">
        <f t="shared" si="3"/>
        <v>279.40000000000003</v>
      </c>
      <c r="M160" s="4">
        <v>27.94</v>
      </c>
    </row>
    <row r="161" spans="1:13" x14ac:dyDescent="0.3">
      <c r="A161" t="s">
        <v>158</v>
      </c>
      <c r="B161" t="s">
        <v>196</v>
      </c>
      <c r="C161" t="s">
        <v>201</v>
      </c>
      <c r="D161" t="s">
        <v>208</v>
      </c>
      <c r="E161">
        <v>1</v>
      </c>
      <c r="F161" t="s">
        <v>213</v>
      </c>
      <c r="G161" t="s">
        <v>374</v>
      </c>
      <c r="H161" t="s">
        <v>415</v>
      </c>
      <c r="I161" t="s">
        <v>419</v>
      </c>
      <c r="J161" t="s">
        <v>423</v>
      </c>
      <c r="K161" t="s">
        <v>431</v>
      </c>
      <c r="L161" s="4">
        <f t="shared" si="3"/>
        <v>35.840000000000003</v>
      </c>
      <c r="M161" s="4">
        <v>35.840000000000003</v>
      </c>
    </row>
    <row r="162" spans="1:13" x14ac:dyDescent="0.3">
      <c r="A162" t="s">
        <v>159</v>
      </c>
      <c r="B162" t="s">
        <v>192</v>
      </c>
      <c r="C162" t="s">
        <v>200</v>
      </c>
      <c r="D162" t="s">
        <v>206</v>
      </c>
      <c r="E162">
        <v>5</v>
      </c>
      <c r="F162" t="s">
        <v>214</v>
      </c>
      <c r="G162" t="s">
        <v>375</v>
      </c>
      <c r="H162" t="s">
        <v>418</v>
      </c>
      <c r="I162" t="s">
        <v>422</v>
      </c>
      <c r="J162" t="s">
        <v>425</v>
      </c>
      <c r="K162" t="s">
        <v>429</v>
      </c>
      <c r="L162" s="4">
        <f t="shared" si="3"/>
        <v>1633.25</v>
      </c>
      <c r="M162" s="4">
        <v>326.64999999999998</v>
      </c>
    </row>
    <row r="163" spans="1:13" x14ac:dyDescent="0.3">
      <c r="A163" t="s">
        <v>128</v>
      </c>
      <c r="B163" t="s">
        <v>191</v>
      </c>
      <c r="C163" t="s">
        <v>200</v>
      </c>
      <c r="D163" t="s">
        <v>206</v>
      </c>
      <c r="E163">
        <v>7</v>
      </c>
      <c r="F163" t="s">
        <v>214</v>
      </c>
      <c r="G163" t="s">
        <v>376</v>
      </c>
      <c r="H163" t="s">
        <v>417</v>
      </c>
      <c r="I163" t="s">
        <v>422</v>
      </c>
      <c r="J163" t="s">
        <v>424</v>
      </c>
      <c r="K163" t="s">
        <v>432</v>
      </c>
      <c r="L163" s="4">
        <f t="shared" si="3"/>
        <v>2102.4500000000003</v>
      </c>
      <c r="M163" s="4">
        <v>300.35000000000002</v>
      </c>
    </row>
    <row r="164" spans="1:13" x14ac:dyDescent="0.3">
      <c r="A164" t="s">
        <v>45</v>
      </c>
      <c r="B164" t="s">
        <v>192</v>
      </c>
      <c r="C164" t="s">
        <v>202</v>
      </c>
      <c r="D164" t="s">
        <v>205</v>
      </c>
      <c r="E164">
        <v>4</v>
      </c>
      <c r="F164" t="s">
        <v>212</v>
      </c>
      <c r="G164" t="s">
        <v>377</v>
      </c>
      <c r="H164" t="s">
        <v>414</v>
      </c>
      <c r="I164" t="s">
        <v>419</v>
      </c>
      <c r="J164" t="s">
        <v>424</v>
      </c>
      <c r="K164" t="s">
        <v>428</v>
      </c>
      <c r="L164" s="4">
        <f t="shared" si="3"/>
        <v>1474.04</v>
      </c>
      <c r="M164" s="4">
        <v>368.51</v>
      </c>
    </row>
    <row r="165" spans="1:13" x14ac:dyDescent="0.3">
      <c r="A165" t="s">
        <v>160</v>
      </c>
      <c r="B165" t="s">
        <v>191</v>
      </c>
      <c r="C165" t="s">
        <v>199</v>
      </c>
      <c r="D165" t="s">
        <v>208</v>
      </c>
      <c r="E165">
        <v>5</v>
      </c>
      <c r="F165" t="s">
        <v>210</v>
      </c>
      <c r="G165" t="s">
        <v>378</v>
      </c>
      <c r="H165" t="s">
        <v>416</v>
      </c>
      <c r="I165" t="s">
        <v>419</v>
      </c>
      <c r="J165" t="s">
        <v>423</v>
      </c>
      <c r="K165" t="s">
        <v>432</v>
      </c>
      <c r="L165" s="4">
        <f t="shared" si="3"/>
        <v>296.3</v>
      </c>
      <c r="M165" s="4">
        <v>59.26</v>
      </c>
    </row>
    <row r="166" spans="1:13" x14ac:dyDescent="0.3">
      <c r="A166" t="s">
        <v>161</v>
      </c>
      <c r="B166" t="s">
        <v>197</v>
      </c>
      <c r="C166" t="s">
        <v>199</v>
      </c>
      <c r="D166" t="s">
        <v>205</v>
      </c>
      <c r="E166">
        <v>9</v>
      </c>
      <c r="F166" t="s">
        <v>210</v>
      </c>
      <c r="G166" t="s">
        <v>379</v>
      </c>
      <c r="H166" t="s">
        <v>417</v>
      </c>
      <c r="I166" t="s">
        <v>421</v>
      </c>
      <c r="J166" t="s">
        <v>424</v>
      </c>
      <c r="K166" t="s">
        <v>429</v>
      </c>
      <c r="L166" s="4">
        <f t="shared" si="3"/>
        <v>500.76</v>
      </c>
      <c r="M166" s="4">
        <v>55.64</v>
      </c>
    </row>
    <row r="167" spans="1:13" x14ac:dyDescent="0.3">
      <c r="A167" t="s">
        <v>162</v>
      </c>
      <c r="B167" t="s">
        <v>198</v>
      </c>
      <c r="C167" t="s">
        <v>201</v>
      </c>
      <c r="D167" t="s">
        <v>209</v>
      </c>
      <c r="E167">
        <v>6</v>
      </c>
      <c r="F167" t="s">
        <v>214</v>
      </c>
      <c r="G167" t="s">
        <v>380</v>
      </c>
      <c r="H167" t="s">
        <v>416</v>
      </c>
      <c r="I167" t="s">
        <v>419</v>
      </c>
      <c r="J167" t="s">
        <v>424</v>
      </c>
      <c r="K167" t="s">
        <v>432</v>
      </c>
      <c r="L167" s="4">
        <f t="shared" si="3"/>
        <v>775.26</v>
      </c>
      <c r="M167" s="4">
        <v>129.21</v>
      </c>
    </row>
    <row r="168" spans="1:13" x14ac:dyDescent="0.3">
      <c r="A168" t="s">
        <v>163</v>
      </c>
      <c r="B168" t="s">
        <v>191</v>
      </c>
      <c r="C168" t="s">
        <v>200</v>
      </c>
      <c r="D168" t="s">
        <v>209</v>
      </c>
      <c r="E168">
        <v>4</v>
      </c>
      <c r="F168" t="s">
        <v>211</v>
      </c>
      <c r="G168" t="s">
        <v>381</v>
      </c>
      <c r="H168" t="s">
        <v>416</v>
      </c>
      <c r="I168" t="s">
        <v>419</v>
      </c>
      <c r="J168" t="s">
        <v>423</v>
      </c>
      <c r="K168" t="s">
        <v>429</v>
      </c>
      <c r="L168" s="4">
        <f t="shared" si="3"/>
        <v>648.91999999999996</v>
      </c>
      <c r="M168" s="4">
        <v>162.22999999999999</v>
      </c>
    </row>
    <row r="169" spans="1:13" x14ac:dyDescent="0.3">
      <c r="A169" t="s">
        <v>164</v>
      </c>
      <c r="B169" t="s">
        <v>192</v>
      </c>
      <c r="C169" t="s">
        <v>201</v>
      </c>
      <c r="D169" t="s">
        <v>208</v>
      </c>
      <c r="E169">
        <v>9</v>
      </c>
      <c r="F169" t="s">
        <v>213</v>
      </c>
      <c r="G169" t="s">
        <v>382</v>
      </c>
      <c r="H169" t="s">
        <v>418</v>
      </c>
      <c r="I169" t="s">
        <v>420</v>
      </c>
      <c r="J169" t="s">
        <v>425</v>
      </c>
      <c r="K169" t="s">
        <v>426</v>
      </c>
      <c r="L169" s="4">
        <f t="shared" si="3"/>
        <v>1319.8500000000001</v>
      </c>
      <c r="M169" s="4">
        <v>146.65</v>
      </c>
    </row>
    <row r="170" spans="1:13" x14ac:dyDescent="0.3">
      <c r="A170" t="s">
        <v>165</v>
      </c>
      <c r="B170" t="s">
        <v>194</v>
      </c>
      <c r="C170" t="s">
        <v>200</v>
      </c>
      <c r="D170" t="s">
        <v>209</v>
      </c>
      <c r="E170">
        <v>9</v>
      </c>
      <c r="F170" t="s">
        <v>212</v>
      </c>
      <c r="G170" t="s">
        <v>383</v>
      </c>
      <c r="H170" t="s">
        <v>417</v>
      </c>
      <c r="I170" t="s">
        <v>422</v>
      </c>
      <c r="J170" t="s">
        <v>424</v>
      </c>
      <c r="K170" t="s">
        <v>426</v>
      </c>
      <c r="L170" s="4">
        <f t="shared" si="3"/>
        <v>694.53</v>
      </c>
      <c r="M170" s="4">
        <v>77.17</v>
      </c>
    </row>
    <row r="171" spans="1:13" x14ac:dyDescent="0.3">
      <c r="A171" t="s">
        <v>166</v>
      </c>
      <c r="B171" t="s">
        <v>198</v>
      </c>
      <c r="C171" t="s">
        <v>202</v>
      </c>
      <c r="D171" t="s">
        <v>206</v>
      </c>
      <c r="E171">
        <v>5</v>
      </c>
      <c r="F171" t="s">
        <v>212</v>
      </c>
      <c r="G171" t="s">
        <v>384</v>
      </c>
      <c r="H171" t="s">
        <v>418</v>
      </c>
      <c r="I171" t="s">
        <v>419</v>
      </c>
      <c r="J171" t="s">
        <v>423</v>
      </c>
      <c r="K171" t="s">
        <v>431</v>
      </c>
      <c r="L171" s="4">
        <f t="shared" si="3"/>
        <v>1081.4000000000001</v>
      </c>
      <c r="M171" s="4">
        <v>216.28</v>
      </c>
    </row>
    <row r="172" spans="1:13" x14ac:dyDescent="0.3">
      <c r="A172" t="s">
        <v>88</v>
      </c>
      <c r="B172" t="s">
        <v>196</v>
      </c>
      <c r="C172" t="s">
        <v>201</v>
      </c>
      <c r="D172" t="s">
        <v>209</v>
      </c>
      <c r="E172">
        <v>3</v>
      </c>
      <c r="F172" t="s">
        <v>214</v>
      </c>
      <c r="G172" t="s">
        <v>385</v>
      </c>
      <c r="H172" t="s">
        <v>414</v>
      </c>
      <c r="I172" t="s">
        <v>421</v>
      </c>
      <c r="J172" t="s">
        <v>424</v>
      </c>
      <c r="K172" t="s">
        <v>428</v>
      </c>
      <c r="L172" s="4">
        <f t="shared" si="3"/>
        <v>1186.5899999999999</v>
      </c>
      <c r="M172" s="4">
        <v>395.53</v>
      </c>
    </row>
    <row r="173" spans="1:13" x14ac:dyDescent="0.3">
      <c r="A173" t="s">
        <v>34</v>
      </c>
      <c r="B173" t="s">
        <v>196</v>
      </c>
      <c r="C173" t="s">
        <v>202</v>
      </c>
      <c r="D173" t="s">
        <v>203</v>
      </c>
      <c r="E173">
        <v>7</v>
      </c>
      <c r="F173" t="s">
        <v>210</v>
      </c>
      <c r="G173" t="s">
        <v>386</v>
      </c>
      <c r="H173" t="s">
        <v>416</v>
      </c>
      <c r="I173" t="s">
        <v>422</v>
      </c>
      <c r="J173" t="s">
        <v>424</v>
      </c>
      <c r="K173" t="s">
        <v>430</v>
      </c>
      <c r="L173" s="4">
        <f t="shared" si="3"/>
        <v>215.6</v>
      </c>
      <c r="M173" s="4">
        <v>30.8</v>
      </c>
    </row>
    <row r="174" spans="1:13" x14ac:dyDescent="0.3">
      <c r="A174" t="s">
        <v>167</v>
      </c>
      <c r="B174" t="s">
        <v>197</v>
      </c>
      <c r="C174" t="s">
        <v>202</v>
      </c>
      <c r="D174" t="s">
        <v>205</v>
      </c>
      <c r="E174">
        <v>5</v>
      </c>
      <c r="F174" t="s">
        <v>211</v>
      </c>
      <c r="G174" t="s">
        <v>387</v>
      </c>
      <c r="H174" t="s">
        <v>414</v>
      </c>
      <c r="I174" t="s">
        <v>421</v>
      </c>
      <c r="J174" t="s">
        <v>424</v>
      </c>
      <c r="K174" t="s">
        <v>427</v>
      </c>
      <c r="L174" s="4">
        <f t="shared" si="3"/>
        <v>909.30000000000007</v>
      </c>
      <c r="M174" s="4">
        <v>181.86</v>
      </c>
    </row>
    <row r="175" spans="1:13" x14ac:dyDescent="0.3">
      <c r="A175" t="s">
        <v>168</v>
      </c>
      <c r="B175" t="s">
        <v>194</v>
      </c>
      <c r="C175" t="s">
        <v>199</v>
      </c>
      <c r="D175" t="s">
        <v>206</v>
      </c>
      <c r="E175">
        <v>6</v>
      </c>
      <c r="F175" t="s">
        <v>212</v>
      </c>
      <c r="G175" t="s">
        <v>388</v>
      </c>
      <c r="H175" t="s">
        <v>414</v>
      </c>
      <c r="I175" t="s">
        <v>420</v>
      </c>
      <c r="J175" t="s">
        <v>425</v>
      </c>
      <c r="K175" t="s">
        <v>430</v>
      </c>
      <c r="L175" s="4">
        <f t="shared" si="3"/>
        <v>681.18000000000006</v>
      </c>
      <c r="M175" s="4">
        <v>113.53</v>
      </c>
    </row>
    <row r="176" spans="1:13" x14ac:dyDescent="0.3">
      <c r="A176" t="s">
        <v>169</v>
      </c>
      <c r="B176" t="s">
        <v>190</v>
      </c>
      <c r="C176" t="s">
        <v>200</v>
      </c>
      <c r="D176" t="s">
        <v>205</v>
      </c>
      <c r="E176">
        <v>10</v>
      </c>
      <c r="F176" t="s">
        <v>210</v>
      </c>
      <c r="G176" t="s">
        <v>389</v>
      </c>
      <c r="H176" t="s">
        <v>415</v>
      </c>
      <c r="I176" t="s">
        <v>421</v>
      </c>
      <c r="J176" t="s">
        <v>424</v>
      </c>
      <c r="K176" t="s">
        <v>432</v>
      </c>
      <c r="L176" s="4">
        <f t="shared" si="3"/>
        <v>2156.3999999999996</v>
      </c>
      <c r="M176" s="4">
        <v>215.64</v>
      </c>
    </row>
    <row r="177" spans="1:13" x14ac:dyDescent="0.3">
      <c r="A177" t="s">
        <v>170</v>
      </c>
      <c r="B177" t="s">
        <v>192</v>
      </c>
      <c r="C177" t="s">
        <v>200</v>
      </c>
      <c r="D177" t="s">
        <v>206</v>
      </c>
      <c r="E177">
        <v>9</v>
      </c>
      <c r="F177" t="s">
        <v>211</v>
      </c>
      <c r="G177" t="s">
        <v>390</v>
      </c>
      <c r="H177" t="s">
        <v>414</v>
      </c>
      <c r="I177" t="s">
        <v>419</v>
      </c>
      <c r="J177" t="s">
        <v>424</v>
      </c>
      <c r="K177" t="s">
        <v>432</v>
      </c>
      <c r="L177" s="4">
        <f t="shared" si="3"/>
        <v>3588.75</v>
      </c>
      <c r="M177" s="4">
        <v>398.75</v>
      </c>
    </row>
    <row r="178" spans="1:13" x14ac:dyDescent="0.3">
      <c r="A178" t="s">
        <v>171</v>
      </c>
      <c r="B178" t="s">
        <v>193</v>
      </c>
      <c r="C178" t="s">
        <v>202</v>
      </c>
      <c r="D178" t="s">
        <v>207</v>
      </c>
      <c r="E178">
        <v>7</v>
      </c>
      <c r="F178" t="s">
        <v>210</v>
      </c>
      <c r="G178" t="s">
        <v>391</v>
      </c>
      <c r="H178" t="s">
        <v>416</v>
      </c>
      <c r="I178" t="s">
        <v>420</v>
      </c>
      <c r="J178" t="s">
        <v>423</v>
      </c>
      <c r="K178" t="s">
        <v>430</v>
      </c>
      <c r="L178" s="4">
        <f t="shared" si="3"/>
        <v>1036.98</v>
      </c>
      <c r="M178" s="4">
        <v>148.13999999999999</v>
      </c>
    </row>
    <row r="179" spans="1:13" x14ac:dyDescent="0.3">
      <c r="A179" t="s">
        <v>172</v>
      </c>
      <c r="B179" t="s">
        <v>198</v>
      </c>
      <c r="C179" t="s">
        <v>200</v>
      </c>
      <c r="D179" t="s">
        <v>204</v>
      </c>
      <c r="E179">
        <v>7</v>
      </c>
      <c r="F179" t="s">
        <v>214</v>
      </c>
      <c r="G179" t="s">
        <v>392</v>
      </c>
      <c r="H179" t="s">
        <v>415</v>
      </c>
      <c r="I179" t="s">
        <v>421</v>
      </c>
      <c r="J179" t="s">
        <v>423</v>
      </c>
      <c r="K179" t="s">
        <v>431</v>
      </c>
      <c r="L179" s="4">
        <f t="shared" si="3"/>
        <v>1810.83</v>
      </c>
      <c r="M179" s="4">
        <v>258.69</v>
      </c>
    </row>
    <row r="180" spans="1:13" x14ac:dyDescent="0.3">
      <c r="A180" t="s">
        <v>173</v>
      </c>
      <c r="B180" t="s">
        <v>193</v>
      </c>
      <c r="C180" t="s">
        <v>202</v>
      </c>
      <c r="D180" t="s">
        <v>206</v>
      </c>
      <c r="E180">
        <v>7</v>
      </c>
      <c r="F180" t="s">
        <v>210</v>
      </c>
      <c r="G180" t="s">
        <v>393</v>
      </c>
      <c r="H180" t="s">
        <v>414</v>
      </c>
      <c r="I180" t="s">
        <v>422</v>
      </c>
      <c r="J180" t="s">
        <v>425</v>
      </c>
      <c r="K180" t="s">
        <v>432</v>
      </c>
      <c r="L180" s="4">
        <f t="shared" si="3"/>
        <v>803.32</v>
      </c>
      <c r="M180" s="4">
        <v>114.76</v>
      </c>
    </row>
    <row r="181" spans="1:13" x14ac:dyDescent="0.3">
      <c r="A181" t="s">
        <v>174</v>
      </c>
      <c r="B181" t="s">
        <v>192</v>
      </c>
      <c r="C181" t="s">
        <v>201</v>
      </c>
      <c r="D181" t="s">
        <v>209</v>
      </c>
      <c r="E181">
        <v>3</v>
      </c>
      <c r="F181" t="s">
        <v>213</v>
      </c>
      <c r="G181" t="s">
        <v>394</v>
      </c>
      <c r="H181" t="s">
        <v>417</v>
      </c>
      <c r="I181" t="s">
        <v>419</v>
      </c>
      <c r="J181" t="s">
        <v>423</v>
      </c>
      <c r="K181" t="s">
        <v>426</v>
      </c>
      <c r="L181" s="4">
        <f t="shared" si="3"/>
        <v>175.35000000000002</v>
      </c>
      <c r="M181" s="4">
        <v>58.45</v>
      </c>
    </row>
    <row r="182" spans="1:13" x14ac:dyDescent="0.3">
      <c r="A182" t="s">
        <v>175</v>
      </c>
      <c r="B182" t="s">
        <v>196</v>
      </c>
      <c r="C182" t="s">
        <v>199</v>
      </c>
      <c r="D182" t="s">
        <v>206</v>
      </c>
      <c r="E182">
        <v>10</v>
      </c>
      <c r="F182" t="s">
        <v>210</v>
      </c>
      <c r="G182" t="s">
        <v>395</v>
      </c>
      <c r="H182" t="s">
        <v>417</v>
      </c>
      <c r="I182" t="s">
        <v>422</v>
      </c>
      <c r="J182" t="s">
        <v>424</v>
      </c>
      <c r="K182" t="s">
        <v>429</v>
      </c>
      <c r="L182" s="4">
        <f t="shared" si="3"/>
        <v>2388.6999999999998</v>
      </c>
      <c r="M182" s="4">
        <v>238.87</v>
      </c>
    </row>
    <row r="183" spans="1:13" x14ac:dyDescent="0.3">
      <c r="A183" t="s">
        <v>63</v>
      </c>
      <c r="B183" t="s">
        <v>195</v>
      </c>
      <c r="C183" t="s">
        <v>199</v>
      </c>
      <c r="D183" t="s">
        <v>207</v>
      </c>
      <c r="E183">
        <v>9</v>
      </c>
      <c r="F183" t="s">
        <v>212</v>
      </c>
      <c r="G183" t="s">
        <v>396</v>
      </c>
      <c r="H183" t="s">
        <v>415</v>
      </c>
      <c r="I183" t="s">
        <v>422</v>
      </c>
      <c r="J183" t="s">
        <v>424</v>
      </c>
      <c r="K183" t="s">
        <v>429</v>
      </c>
      <c r="L183" s="4">
        <f t="shared" si="3"/>
        <v>2003.4900000000002</v>
      </c>
      <c r="M183" s="4">
        <v>222.61</v>
      </c>
    </row>
    <row r="184" spans="1:13" x14ac:dyDescent="0.3">
      <c r="A184" t="s">
        <v>176</v>
      </c>
      <c r="B184" t="s">
        <v>195</v>
      </c>
      <c r="C184" t="s">
        <v>202</v>
      </c>
      <c r="D184" t="s">
        <v>204</v>
      </c>
      <c r="E184">
        <v>6</v>
      </c>
      <c r="F184" t="s">
        <v>210</v>
      </c>
      <c r="G184" t="s">
        <v>397</v>
      </c>
      <c r="H184" t="s">
        <v>418</v>
      </c>
      <c r="I184" t="s">
        <v>419</v>
      </c>
      <c r="J184" t="s">
        <v>425</v>
      </c>
      <c r="K184" t="s">
        <v>432</v>
      </c>
      <c r="L184" s="4">
        <f t="shared" si="3"/>
        <v>929.33999999999992</v>
      </c>
      <c r="M184" s="4">
        <v>154.88999999999999</v>
      </c>
    </row>
    <row r="185" spans="1:13" x14ac:dyDescent="0.3">
      <c r="A185" t="s">
        <v>177</v>
      </c>
      <c r="B185" t="s">
        <v>194</v>
      </c>
      <c r="C185" t="s">
        <v>199</v>
      </c>
      <c r="D185" t="s">
        <v>205</v>
      </c>
      <c r="E185">
        <v>6</v>
      </c>
      <c r="F185" t="s">
        <v>212</v>
      </c>
      <c r="G185" t="s">
        <v>398</v>
      </c>
      <c r="H185" t="s">
        <v>414</v>
      </c>
      <c r="I185" t="s">
        <v>420</v>
      </c>
      <c r="J185" t="s">
        <v>423</v>
      </c>
      <c r="K185" t="s">
        <v>428</v>
      </c>
      <c r="L185" s="4">
        <f t="shared" si="3"/>
        <v>2387.1000000000004</v>
      </c>
      <c r="M185" s="4">
        <v>397.85</v>
      </c>
    </row>
    <row r="186" spans="1:13" x14ac:dyDescent="0.3">
      <c r="A186" t="s">
        <v>178</v>
      </c>
      <c r="B186" t="s">
        <v>195</v>
      </c>
      <c r="C186" t="s">
        <v>201</v>
      </c>
      <c r="D186" t="s">
        <v>203</v>
      </c>
      <c r="E186">
        <v>10</v>
      </c>
      <c r="F186" t="s">
        <v>214</v>
      </c>
      <c r="G186" t="s">
        <v>399</v>
      </c>
      <c r="H186" t="s">
        <v>414</v>
      </c>
      <c r="I186" t="s">
        <v>419</v>
      </c>
      <c r="J186" t="s">
        <v>423</v>
      </c>
      <c r="K186" t="s">
        <v>431</v>
      </c>
      <c r="L186" s="4">
        <f t="shared" si="3"/>
        <v>129.30000000000001</v>
      </c>
      <c r="M186" s="4">
        <v>12.93</v>
      </c>
    </row>
    <row r="187" spans="1:13" x14ac:dyDescent="0.3">
      <c r="A187" t="s">
        <v>179</v>
      </c>
      <c r="B187" t="s">
        <v>194</v>
      </c>
      <c r="C187" t="s">
        <v>202</v>
      </c>
      <c r="D187" t="s">
        <v>203</v>
      </c>
      <c r="E187">
        <v>2</v>
      </c>
      <c r="F187" t="s">
        <v>212</v>
      </c>
      <c r="G187" t="s">
        <v>400</v>
      </c>
      <c r="H187" t="s">
        <v>416</v>
      </c>
      <c r="I187" t="s">
        <v>419</v>
      </c>
      <c r="J187" t="s">
        <v>424</v>
      </c>
      <c r="K187" t="s">
        <v>426</v>
      </c>
      <c r="L187" s="4">
        <f t="shared" si="3"/>
        <v>446.46</v>
      </c>
      <c r="M187" s="4">
        <v>223.23</v>
      </c>
    </row>
    <row r="188" spans="1:13" x14ac:dyDescent="0.3">
      <c r="A188" t="s">
        <v>26</v>
      </c>
      <c r="B188" t="s">
        <v>189</v>
      </c>
      <c r="C188" t="s">
        <v>202</v>
      </c>
      <c r="D188" t="s">
        <v>207</v>
      </c>
      <c r="E188">
        <v>6</v>
      </c>
      <c r="F188" t="s">
        <v>210</v>
      </c>
      <c r="G188" t="s">
        <v>401</v>
      </c>
      <c r="H188" t="s">
        <v>414</v>
      </c>
      <c r="I188" t="s">
        <v>419</v>
      </c>
      <c r="J188" t="s">
        <v>424</v>
      </c>
      <c r="K188" t="s">
        <v>430</v>
      </c>
      <c r="L188" s="4">
        <f t="shared" si="3"/>
        <v>1310.52</v>
      </c>
      <c r="M188" s="4">
        <v>218.42</v>
      </c>
    </row>
    <row r="189" spans="1:13" x14ac:dyDescent="0.3">
      <c r="A189" t="s">
        <v>170</v>
      </c>
      <c r="B189" t="s">
        <v>196</v>
      </c>
      <c r="C189" t="s">
        <v>200</v>
      </c>
      <c r="D189" t="s">
        <v>204</v>
      </c>
      <c r="E189">
        <v>6</v>
      </c>
      <c r="F189" t="s">
        <v>214</v>
      </c>
      <c r="G189" t="s">
        <v>402</v>
      </c>
      <c r="H189" t="s">
        <v>416</v>
      </c>
      <c r="I189" t="s">
        <v>422</v>
      </c>
      <c r="J189" t="s">
        <v>424</v>
      </c>
      <c r="K189" t="s">
        <v>427</v>
      </c>
      <c r="L189" s="4">
        <f t="shared" si="3"/>
        <v>1504.98</v>
      </c>
      <c r="M189" s="4">
        <v>250.83</v>
      </c>
    </row>
    <row r="190" spans="1:13" x14ac:dyDescent="0.3">
      <c r="A190" t="s">
        <v>180</v>
      </c>
      <c r="B190" t="s">
        <v>189</v>
      </c>
      <c r="C190" t="s">
        <v>201</v>
      </c>
      <c r="D190" t="s">
        <v>206</v>
      </c>
      <c r="E190">
        <v>5</v>
      </c>
      <c r="F190" t="s">
        <v>210</v>
      </c>
      <c r="G190" t="s">
        <v>403</v>
      </c>
      <c r="H190" t="s">
        <v>418</v>
      </c>
      <c r="I190" t="s">
        <v>421</v>
      </c>
      <c r="J190" t="s">
        <v>425</v>
      </c>
      <c r="K190" t="s">
        <v>430</v>
      </c>
      <c r="L190" s="4">
        <f t="shared" si="3"/>
        <v>1037.95</v>
      </c>
      <c r="M190" s="4">
        <v>207.59</v>
      </c>
    </row>
    <row r="191" spans="1:13" x14ac:dyDescent="0.3">
      <c r="A191" t="s">
        <v>181</v>
      </c>
      <c r="B191" t="s">
        <v>197</v>
      </c>
      <c r="C191" t="s">
        <v>200</v>
      </c>
      <c r="D191" t="s">
        <v>206</v>
      </c>
      <c r="E191">
        <v>3</v>
      </c>
      <c r="F191" t="s">
        <v>214</v>
      </c>
      <c r="G191" t="s">
        <v>404</v>
      </c>
      <c r="H191" t="s">
        <v>415</v>
      </c>
      <c r="I191" t="s">
        <v>421</v>
      </c>
      <c r="J191" t="s">
        <v>425</v>
      </c>
      <c r="K191" t="s">
        <v>426</v>
      </c>
      <c r="L191" s="4">
        <f t="shared" si="3"/>
        <v>237.99</v>
      </c>
      <c r="M191" s="4">
        <v>79.33</v>
      </c>
    </row>
    <row r="192" spans="1:13" x14ac:dyDescent="0.3">
      <c r="A192" t="s">
        <v>182</v>
      </c>
      <c r="B192" t="s">
        <v>197</v>
      </c>
      <c r="C192" t="s">
        <v>200</v>
      </c>
      <c r="D192" t="s">
        <v>206</v>
      </c>
      <c r="E192">
        <v>6</v>
      </c>
      <c r="F192" t="s">
        <v>210</v>
      </c>
      <c r="G192" t="s">
        <v>405</v>
      </c>
      <c r="H192" t="s">
        <v>414</v>
      </c>
      <c r="I192" t="s">
        <v>420</v>
      </c>
      <c r="J192" t="s">
        <v>425</v>
      </c>
      <c r="K192" t="s">
        <v>428</v>
      </c>
      <c r="L192" s="4">
        <f t="shared" si="3"/>
        <v>454.38</v>
      </c>
      <c r="M192" s="4">
        <v>75.73</v>
      </c>
    </row>
    <row r="193" spans="1:13" x14ac:dyDescent="0.3">
      <c r="A193" t="s">
        <v>183</v>
      </c>
      <c r="B193" t="s">
        <v>198</v>
      </c>
      <c r="C193" t="s">
        <v>201</v>
      </c>
      <c r="D193" t="s">
        <v>208</v>
      </c>
      <c r="E193">
        <v>3</v>
      </c>
      <c r="F193" t="s">
        <v>212</v>
      </c>
      <c r="G193" t="s">
        <v>406</v>
      </c>
      <c r="H193" t="s">
        <v>415</v>
      </c>
      <c r="I193" t="s">
        <v>422</v>
      </c>
      <c r="J193" t="s">
        <v>424</v>
      </c>
      <c r="K193" t="s">
        <v>431</v>
      </c>
      <c r="L193" s="4">
        <f t="shared" si="3"/>
        <v>596.31000000000006</v>
      </c>
      <c r="M193" s="4">
        <v>198.77</v>
      </c>
    </row>
    <row r="194" spans="1:13" x14ac:dyDescent="0.3">
      <c r="A194" t="s">
        <v>184</v>
      </c>
      <c r="B194" t="s">
        <v>197</v>
      </c>
      <c r="C194" t="s">
        <v>202</v>
      </c>
      <c r="D194" t="s">
        <v>207</v>
      </c>
      <c r="E194">
        <v>8</v>
      </c>
      <c r="F194" t="s">
        <v>214</v>
      </c>
      <c r="G194" t="s">
        <v>407</v>
      </c>
      <c r="H194" t="s">
        <v>415</v>
      </c>
      <c r="I194" t="s">
        <v>422</v>
      </c>
      <c r="J194" t="s">
        <v>424</v>
      </c>
      <c r="K194" t="s">
        <v>432</v>
      </c>
      <c r="L194" s="4">
        <f t="shared" si="3"/>
        <v>2948.08</v>
      </c>
      <c r="M194" s="4">
        <v>368.51</v>
      </c>
    </row>
    <row r="195" spans="1:13" x14ac:dyDescent="0.3">
      <c r="A195" t="s">
        <v>45</v>
      </c>
      <c r="B195" t="s">
        <v>192</v>
      </c>
      <c r="C195" t="s">
        <v>202</v>
      </c>
      <c r="D195" t="s">
        <v>203</v>
      </c>
      <c r="E195">
        <v>3</v>
      </c>
      <c r="F195" t="s">
        <v>213</v>
      </c>
      <c r="G195" t="s">
        <v>408</v>
      </c>
      <c r="H195" t="s">
        <v>418</v>
      </c>
      <c r="I195" t="s">
        <v>419</v>
      </c>
      <c r="J195" t="s">
        <v>424</v>
      </c>
      <c r="K195" t="s">
        <v>426</v>
      </c>
      <c r="L195" s="4">
        <f t="shared" ref="L195:L201" si="4">PRODUCT(M195,E195)</f>
        <v>840.36</v>
      </c>
      <c r="M195" s="4">
        <v>280.12</v>
      </c>
    </row>
    <row r="196" spans="1:13" x14ac:dyDescent="0.3">
      <c r="A196" t="s">
        <v>185</v>
      </c>
      <c r="B196" t="s">
        <v>191</v>
      </c>
      <c r="C196" t="s">
        <v>199</v>
      </c>
      <c r="D196" t="s">
        <v>209</v>
      </c>
      <c r="E196">
        <v>10</v>
      </c>
      <c r="F196" t="s">
        <v>210</v>
      </c>
      <c r="G196" t="s">
        <v>409</v>
      </c>
      <c r="H196" t="s">
        <v>414</v>
      </c>
      <c r="I196" t="s">
        <v>422</v>
      </c>
      <c r="J196" t="s">
        <v>424</v>
      </c>
      <c r="K196" t="s">
        <v>431</v>
      </c>
      <c r="L196" s="4">
        <f t="shared" si="4"/>
        <v>2582.6999999999998</v>
      </c>
      <c r="M196" s="4">
        <v>258.27</v>
      </c>
    </row>
    <row r="197" spans="1:13" x14ac:dyDescent="0.3">
      <c r="A197" t="s">
        <v>186</v>
      </c>
      <c r="B197" t="s">
        <v>193</v>
      </c>
      <c r="C197" t="s">
        <v>199</v>
      </c>
      <c r="D197" t="s">
        <v>205</v>
      </c>
      <c r="E197">
        <v>4</v>
      </c>
      <c r="F197" t="s">
        <v>211</v>
      </c>
      <c r="G197" t="s">
        <v>410</v>
      </c>
      <c r="H197" t="s">
        <v>415</v>
      </c>
      <c r="I197" t="s">
        <v>422</v>
      </c>
      <c r="J197" t="s">
        <v>425</v>
      </c>
      <c r="K197" t="s">
        <v>430</v>
      </c>
      <c r="L197" s="4">
        <f t="shared" si="4"/>
        <v>835.32</v>
      </c>
      <c r="M197" s="4">
        <v>208.83</v>
      </c>
    </row>
    <row r="198" spans="1:13" x14ac:dyDescent="0.3">
      <c r="A198" t="s">
        <v>187</v>
      </c>
      <c r="B198" t="s">
        <v>195</v>
      </c>
      <c r="C198" t="s">
        <v>199</v>
      </c>
      <c r="D198" t="s">
        <v>208</v>
      </c>
      <c r="E198">
        <v>7</v>
      </c>
      <c r="F198" t="s">
        <v>212</v>
      </c>
      <c r="G198" t="s">
        <v>411</v>
      </c>
      <c r="H198" t="s">
        <v>416</v>
      </c>
      <c r="I198" t="s">
        <v>422</v>
      </c>
      <c r="J198" t="s">
        <v>423</v>
      </c>
      <c r="K198" t="s">
        <v>428</v>
      </c>
      <c r="L198" s="4">
        <f t="shared" si="4"/>
        <v>768.53000000000009</v>
      </c>
      <c r="M198" s="4">
        <v>109.79</v>
      </c>
    </row>
    <row r="199" spans="1:13" x14ac:dyDescent="0.3">
      <c r="A199" t="s">
        <v>188</v>
      </c>
      <c r="B199" t="s">
        <v>197</v>
      </c>
      <c r="C199" t="s">
        <v>199</v>
      </c>
      <c r="D199" t="s">
        <v>206</v>
      </c>
      <c r="E199">
        <v>6</v>
      </c>
      <c r="F199" t="s">
        <v>214</v>
      </c>
      <c r="G199" t="s">
        <v>412</v>
      </c>
      <c r="H199" t="s">
        <v>415</v>
      </c>
      <c r="I199" t="s">
        <v>420</v>
      </c>
      <c r="J199" t="s">
        <v>423</v>
      </c>
      <c r="K199" t="s">
        <v>432</v>
      </c>
      <c r="L199" s="4">
        <f t="shared" si="4"/>
        <v>1711.56</v>
      </c>
      <c r="M199" s="4">
        <v>285.26</v>
      </c>
    </row>
    <row r="200" spans="1:13" x14ac:dyDescent="0.3">
      <c r="A200" t="s">
        <v>77</v>
      </c>
      <c r="B200" t="s">
        <v>196</v>
      </c>
      <c r="C200" t="s">
        <v>200</v>
      </c>
      <c r="D200" t="s">
        <v>206</v>
      </c>
      <c r="E200">
        <v>6</v>
      </c>
      <c r="F200" t="s">
        <v>214</v>
      </c>
      <c r="G200" t="s">
        <v>413</v>
      </c>
      <c r="H200" t="s">
        <v>414</v>
      </c>
      <c r="I200" t="s">
        <v>420</v>
      </c>
      <c r="J200" t="s">
        <v>424</v>
      </c>
      <c r="K200" t="s">
        <v>432</v>
      </c>
      <c r="L200" s="4">
        <f t="shared" si="4"/>
        <v>2363.2200000000003</v>
      </c>
      <c r="M200" s="4">
        <v>393.87</v>
      </c>
    </row>
    <row r="201" spans="1:13" x14ac:dyDescent="0.3">
      <c r="L201" s="4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200"/>
  <sheetViews>
    <sheetView workbookViewId="0">
      <selection activeCell="K21" sqref="K21"/>
    </sheetView>
  </sheetViews>
  <sheetFormatPr defaultRowHeight="14.4" x14ac:dyDescent="0.3"/>
  <sheetData>
    <row r="1" spans="1:13" x14ac:dyDescent="0.3">
      <c r="A1" s="5" t="s">
        <v>440</v>
      </c>
      <c r="B1" s="5" t="s">
        <v>0</v>
      </c>
      <c r="C1" s="5" t="s">
        <v>1</v>
      </c>
      <c r="D1" s="5" t="s">
        <v>2</v>
      </c>
      <c r="E1" s="5" t="s">
        <v>3</v>
      </c>
      <c r="F1" s="5" t="s">
        <v>4</v>
      </c>
      <c r="G1" s="5" t="s">
        <v>5</v>
      </c>
      <c r="H1" s="5" t="s">
        <v>6</v>
      </c>
      <c r="I1" s="5" t="s">
        <v>7</v>
      </c>
      <c r="J1" s="5" t="s">
        <v>8</v>
      </c>
      <c r="K1" s="5" t="s">
        <v>9</v>
      </c>
      <c r="L1" s="5" t="s">
        <v>10</v>
      </c>
      <c r="M1" s="3" t="s">
        <v>439</v>
      </c>
    </row>
    <row r="2" spans="1:13" x14ac:dyDescent="0.3">
      <c r="A2" s="4" t="s">
        <v>11</v>
      </c>
      <c r="B2" s="4" t="s">
        <v>189</v>
      </c>
      <c r="C2" s="4" t="s">
        <v>199</v>
      </c>
      <c r="D2" s="4" t="s">
        <v>203</v>
      </c>
      <c r="E2" s="4">
        <v>3</v>
      </c>
      <c r="F2" s="4" t="s">
        <v>210</v>
      </c>
      <c r="G2" s="4" t="s">
        <v>215</v>
      </c>
      <c r="H2" s="4" t="s">
        <v>414</v>
      </c>
      <c r="I2" s="4" t="s">
        <v>419</v>
      </c>
      <c r="J2" s="4" t="s">
        <v>423</v>
      </c>
      <c r="K2" s="4" t="s">
        <v>426</v>
      </c>
      <c r="L2" s="4">
        <f>PRODUCT(M2,E2)</f>
        <v>1092.6600000000001</v>
      </c>
      <c r="M2" s="4">
        <v>364.22</v>
      </c>
    </row>
    <row r="3" spans="1:13" x14ac:dyDescent="0.3">
      <c r="A3" s="4" t="s">
        <v>12</v>
      </c>
      <c r="B3" s="4" t="s">
        <v>190</v>
      </c>
      <c r="C3" s="4" t="s">
        <v>200</v>
      </c>
      <c r="D3" s="4" t="s">
        <v>204</v>
      </c>
      <c r="E3" s="4">
        <v>9</v>
      </c>
      <c r="F3" s="4" t="s">
        <v>211</v>
      </c>
      <c r="G3" s="4" t="s">
        <v>216</v>
      </c>
      <c r="H3" s="4" t="s">
        <v>415</v>
      </c>
      <c r="I3" s="4" t="s">
        <v>420</v>
      </c>
      <c r="J3" s="4" t="s">
        <v>423</v>
      </c>
      <c r="K3" s="4" t="s">
        <v>427</v>
      </c>
      <c r="L3" s="4">
        <f t="shared" ref="L3:L66" si="0">PRODUCT(M3,E3)</f>
        <v>3462.66</v>
      </c>
      <c r="M3" s="4">
        <v>384.74</v>
      </c>
    </row>
    <row r="4" spans="1:13" x14ac:dyDescent="0.3">
      <c r="A4" s="4" t="s">
        <v>13</v>
      </c>
      <c r="B4" s="4" t="s">
        <v>191</v>
      </c>
      <c r="C4" s="4" t="s">
        <v>200</v>
      </c>
      <c r="D4" s="4" t="s">
        <v>205</v>
      </c>
      <c r="E4" s="4">
        <v>9</v>
      </c>
      <c r="F4" s="4" t="s">
        <v>212</v>
      </c>
      <c r="G4" s="4" t="s">
        <v>217</v>
      </c>
      <c r="H4" s="4" t="s">
        <v>416</v>
      </c>
      <c r="I4" s="4" t="s">
        <v>420</v>
      </c>
      <c r="J4" s="4" t="s">
        <v>424</v>
      </c>
      <c r="K4" s="4" t="s">
        <v>428</v>
      </c>
      <c r="L4" s="4">
        <f t="shared" si="0"/>
        <v>3580.2000000000003</v>
      </c>
      <c r="M4" s="4">
        <v>397.8</v>
      </c>
    </row>
    <row r="5" spans="1:13" x14ac:dyDescent="0.3">
      <c r="A5" s="4" t="s">
        <v>14</v>
      </c>
      <c r="B5" s="4" t="s">
        <v>191</v>
      </c>
      <c r="C5" s="4" t="s">
        <v>199</v>
      </c>
      <c r="D5" s="4" t="s">
        <v>206</v>
      </c>
      <c r="E5" s="4">
        <v>7</v>
      </c>
      <c r="F5" s="4" t="s">
        <v>211</v>
      </c>
      <c r="G5" s="4" t="s">
        <v>218</v>
      </c>
      <c r="H5" s="4" t="s">
        <v>417</v>
      </c>
      <c r="I5" s="4" t="s">
        <v>421</v>
      </c>
      <c r="J5" s="4" t="s">
        <v>423</v>
      </c>
      <c r="K5" s="4" t="s">
        <v>426</v>
      </c>
      <c r="L5" s="4">
        <f t="shared" si="0"/>
        <v>561.89</v>
      </c>
      <c r="M5" s="4">
        <v>80.27</v>
      </c>
    </row>
    <row r="6" spans="1:13" x14ac:dyDescent="0.3">
      <c r="A6" s="4" t="s">
        <v>15</v>
      </c>
      <c r="B6" s="4" t="s">
        <v>191</v>
      </c>
      <c r="C6" s="4" t="s">
        <v>201</v>
      </c>
      <c r="D6" s="4" t="s">
        <v>206</v>
      </c>
      <c r="E6" s="4">
        <v>10</v>
      </c>
      <c r="F6" s="4" t="s">
        <v>210</v>
      </c>
      <c r="G6" s="4" t="s">
        <v>219</v>
      </c>
      <c r="H6" s="4" t="s">
        <v>414</v>
      </c>
      <c r="I6" s="4" t="s">
        <v>419</v>
      </c>
      <c r="J6" s="4" t="s">
        <v>424</v>
      </c>
      <c r="K6" s="4" t="s">
        <v>429</v>
      </c>
      <c r="L6" s="4">
        <f t="shared" si="0"/>
        <v>2140.3000000000002</v>
      </c>
      <c r="M6" s="4">
        <v>214.03</v>
      </c>
    </row>
    <row r="7" spans="1:13" x14ac:dyDescent="0.3">
      <c r="A7" s="4" t="s">
        <v>16</v>
      </c>
      <c r="B7" s="4" t="s">
        <v>192</v>
      </c>
      <c r="C7" s="4" t="s">
        <v>200</v>
      </c>
      <c r="D7" s="4" t="s">
        <v>207</v>
      </c>
      <c r="E7" s="4">
        <v>7</v>
      </c>
      <c r="F7" s="4" t="s">
        <v>213</v>
      </c>
      <c r="G7" s="4" t="s">
        <v>220</v>
      </c>
      <c r="H7" s="4" t="s">
        <v>415</v>
      </c>
      <c r="I7" s="4" t="s">
        <v>421</v>
      </c>
      <c r="J7" s="4" t="s">
        <v>424</v>
      </c>
      <c r="K7" s="4" t="s">
        <v>427</v>
      </c>
      <c r="L7" s="4">
        <f t="shared" si="0"/>
        <v>359.59</v>
      </c>
      <c r="M7" s="4">
        <v>51.37</v>
      </c>
    </row>
    <row r="8" spans="1:13" x14ac:dyDescent="0.3">
      <c r="A8" s="4" t="s">
        <v>17</v>
      </c>
      <c r="B8" s="4" t="s">
        <v>193</v>
      </c>
      <c r="C8" s="4" t="s">
        <v>201</v>
      </c>
      <c r="D8" s="4" t="s">
        <v>206</v>
      </c>
      <c r="E8" s="4">
        <v>9</v>
      </c>
      <c r="F8" s="4" t="s">
        <v>212</v>
      </c>
      <c r="G8" s="4" t="s">
        <v>221</v>
      </c>
      <c r="H8" s="4" t="s">
        <v>418</v>
      </c>
      <c r="I8" s="4" t="s">
        <v>422</v>
      </c>
      <c r="J8" s="4" t="s">
        <v>425</v>
      </c>
      <c r="K8" s="4" t="s">
        <v>430</v>
      </c>
      <c r="L8" s="4">
        <f t="shared" si="0"/>
        <v>74.88</v>
      </c>
      <c r="M8" s="4">
        <v>8.32</v>
      </c>
    </row>
    <row r="9" spans="1:13" x14ac:dyDescent="0.3">
      <c r="A9" s="4" t="s">
        <v>18</v>
      </c>
      <c r="B9" s="4" t="s">
        <v>194</v>
      </c>
      <c r="C9" s="4" t="s">
        <v>200</v>
      </c>
      <c r="D9" s="4" t="s">
        <v>208</v>
      </c>
      <c r="E9" s="4">
        <v>2</v>
      </c>
      <c r="F9" s="4" t="s">
        <v>213</v>
      </c>
      <c r="G9" s="4" t="s">
        <v>222</v>
      </c>
      <c r="H9" s="4" t="s">
        <v>416</v>
      </c>
      <c r="I9" s="4" t="s">
        <v>421</v>
      </c>
      <c r="J9" s="4" t="s">
        <v>424</v>
      </c>
      <c r="K9" s="4" t="s">
        <v>430</v>
      </c>
      <c r="L9" s="4">
        <f t="shared" si="0"/>
        <v>377.86</v>
      </c>
      <c r="M9" s="4">
        <v>188.93</v>
      </c>
    </row>
    <row r="10" spans="1:13" x14ac:dyDescent="0.3">
      <c r="A10" s="4" t="s">
        <v>19</v>
      </c>
      <c r="B10" s="4" t="s">
        <v>192</v>
      </c>
      <c r="C10" s="4" t="s">
        <v>201</v>
      </c>
      <c r="D10" s="4" t="s">
        <v>209</v>
      </c>
      <c r="E10" s="4">
        <v>1</v>
      </c>
      <c r="F10" s="4" t="s">
        <v>214</v>
      </c>
      <c r="G10" s="4" t="s">
        <v>223</v>
      </c>
      <c r="H10" s="4" t="s">
        <v>415</v>
      </c>
      <c r="I10" s="4" t="s">
        <v>421</v>
      </c>
      <c r="J10" s="4" t="s">
        <v>423</v>
      </c>
      <c r="K10" s="4" t="s">
        <v>428</v>
      </c>
      <c r="L10" s="4">
        <f t="shared" si="0"/>
        <v>202.95</v>
      </c>
      <c r="M10" s="4">
        <v>202.95</v>
      </c>
    </row>
    <row r="11" spans="1:13" x14ac:dyDescent="0.3">
      <c r="A11" s="4" t="s">
        <v>20</v>
      </c>
      <c r="B11" s="4" t="s">
        <v>194</v>
      </c>
      <c r="C11" s="4" t="s">
        <v>199</v>
      </c>
      <c r="D11" s="4" t="s">
        <v>208</v>
      </c>
      <c r="E11" s="4">
        <v>5</v>
      </c>
      <c r="F11" s="4" t="s">
        <v>211</v>
      </c>
      <c r="G11" s="4" t="s">
        <v>224</v>
      </c>
      <c r="H11" s="4" t="s">
        <v>417</v>
      </c>
      <c r="I11" s="4" t="s">
        <v>419</v>
      </c>
      <c r="J11" s="4" t="s">
        <v>424</v>
      </c>
      <c r="K11" s="4" t="s">
        <v>428</v>
      </c>
      <c r="L11" s="4">
        <f t="shared" si="0"/>
        <v>710.19999999999993</v>
      </c>
      <c r="M11" s="4">
        <v>142.04</v>
      </c>
    </row>
    <row r="12" spans="1:13" x14ac:dyDescent="0.3">
      <c r="A12" s="4" t="s">
        <v>21</v>
      </c>
      <c r="B12" s="4" t="s">
        <v>195</v>
      </c>
      <c r="C12" s="4" t="s">
        <v>202</v>
      </c>
      <c r="D12" s="4" t="s">
        <v>206</v>
      </c>
      <c r="E12" s="4">
        <v>8</v>
      </c>
      <c r="F12" s="4" t="s">
        <v>211</v>
      </c>
      <c r="G12" s="4" t="s">
        <v>225</v>
      </c>
      <c r="H12" s="4" t="s">
        <v>414</v>
      </c>
      <c r="I12" s="4" t="s">
        <v>420</v>
      </c>
      <c r="J12" s="4" t="s">
        <v>424</v>
      </c>
      <c r="K12" s="4" t="s">
        <v>431</v>
      </c>
      <c r="L12" s="4">
        <f t="shared" si="0"/>
        <v>780.16</v>
      </c>
      <c r="M12" s="4">
        <v>97.52</v>
      </c>
    </row>
    <row r="13" spans="1:13" x14ac:dyDescent="0.3">
      <c r="A13" s="4" t="s">
        <v>22</v>
      </c>
      <c r="B13" s="4" t="s">
        <v>196</v>
      </c>
      <c r="C13" s="4" t="s">
        <v>199</v>
      </c>
      <c r="D13" s="4" t="s">
        <v>207</v>
      </c>
      <c r="E13" s="4">
        <v>2</v>
      </c>
      <c r="F13" s="4" t="s">
        <v>211</v>
      </c>
      <c r="G13" s="4" t="s">
        <v>226</v>
      </c>
      <c r="H13" s="4" t="s">
        <v>414</v>
      </c>
      <c r="I13" s="4" t="s">
        <v>422</v>
      </c>
      <c r="J13" s="4" t="s">
        <v>423</v>
      </c>
      <c r="K13" s="4" t="s">
        <v>428</v>
      </c>
      <c r="L13" s="4">
        <f t="shared" si="0"/>
        <v>461.92</v>
      </c>
      <c r="M13" s="4">
        <v>230.96</v>
      </c>
    </row>
    <row r="14" spans="1:13" x14ac:dyDescent="0.3">
      <c r="A14" s="4" t="s">
        <v>23</v>
      </c>
      <c r="B14" s="4" t="s">
        <v>194</v>
      </c>
      <c r="C14" s="4" t="s">
        <v>200</v>
      </c>
      <c r="D14" s="4" t="s">
        <v>209</v>
      </c>
      <c r="E14" s="4">
        <v>8</v>
      </c>
      <c r="F14" s="4" t="s">
        <v>210</v>
      </c>
      <c r="G14" s="4" t="s">
        <v>227</v>
      </c>
      <c r="H14" s="4" t="s">
        <v>418</v>
      </c>
      <c r="I14" s="4" t="s">
        <v>422</v>
      </c>
      <c r="J14" s="4" t="s">
        <v>424</v>
      </c>
      <c r="K14" s="4" t="s">
        <v>428</v>
      </c>
      <c r="L14" s="4">
        <f t="shared" si="0"/>
        <v>1610.8</v>
      </c>
      <c r="M14" s="4">
        <v>201.35</v>
      </c>
    </row>
    <row r="15" spans="1:13" x14ac:dyDescent="0.3">
      <c r="A15" s="4" t="s">
        <v>24</v>
      </c>
      <c r="B15" s="4" t="s">
        <v>190</v>
      </c>
      <c r="C15" s="4" t="s">
        <v>199</v>
      </c>
      <c r="D15" s="4" t="s">
        <v>205</v>
      </c>
      <c r="E15" s="4">
        <v>10</v>
      </c>
      <c r="F15" s="4" t="s">
        <v>212</v>
      </c>
      <c r="G15" s="4" t="s">
        <v>228</v>
      </c>
      <c r="H15" s="4" t="s">
        <v>414</v>
      </c>
      <c r="I15" s="4" t="s">
        <v>420</v>
      </c>
      <c r="J15" s="4" t="s">
        <v>423</v>
      </c>
      <c r="K15" s="4" t="s">
        <v>432</v>
      </c>
      <c r="L15" s="4">
        <f t="shared" si="0"/>
        <v>409.6</v>
      </c>
      <c r="M15" s="4">
        <v>40.96</v>
      </c>
    </row>
    <row r="16" spans="1:13" x14ac:dyDescent="0.3">
      <c r="A16" s="4" t="s">
        <v>25</v>
      </c>
      <c r="B16" s="4" t="s">
        <v>189</v>
      </c>
      <c r="C16" s="4" t="s">
        <v>201</v>
      </c>
      <c r="D16" s="4" t="s">
        <v>206</v>
      </c>
      <c r="E16" s="4">
        <v>1</v>
      </c>
      <c r="F16" s="4" t="s">
        <v>214</v>
      </c>
      <c r="G16" s="4" t="s">
        <v>229</v>
      </c>
      <c r="H16" s="4" t="s">
        <v>416</v>
      </c>
      <c r="I16" s="4" t="s">
        <v>422</v>
      </c>
      <c r="J16" s="4" t="s">
        <v>425</v>
      </c>
      <c r="K16" s="4" t="s">
        <v>428</v>
      </c>
      <c r="L16" s="4">
        <f t="shared" si="0"/>
        <v>88.74</v>
      </c>
      <c r="M16" s="4">
        <v>88.74</v>
      </c>
    </row>
    <row r="17" spans="1:13" x14ac:dyDescent="0.3">
      <c r="A17" s="4" t="s">
        <v>26</v>
      </c>
      <c r="B17" s="4" t="s">
        <v>195</v>
      </c>
      <c r="C17" s="4" t="s">
        <v>202</v>
      </c>
      <c r="D17" s="4" t="s">
        <v>204</v>
      </c>
      <c r="E17" s="4">
        <v>5</v>
      </c>
      <c r="F17" s="4" t="s">
        <v>212</v>
      </c>
      <c r="G17" s="4" t="s">
        <v>230</v>
      </c>
      <c r="H17" s="4" t="s">
        <v>418</v>
      </c>
      <c r="I17" s="4" t="s">
        <v>420</v>
      </c>
      <c r="J17" s="4" t="s">
        <v>424</v>
      </c>
      <c r="K17" s="4" t="s">
        <v>427</v>
      </c>
      <c r="L17" s="4">
        <f t="shared" si="0"/>
        <v>1810.1499999999999</v>
      </c>
      <c r="M17" s="4">
        <v>362.03</v>
      </c>
    </row>
    <row r="18" spans="1:13" x14ac:dyDescent="0.3">
      <c r="A18" s="4" t="s">
        <v>27</v>
      </c>
      <c r="B18" s="4" t="s">
        <v>197</v>
      </c>
      <c r="C18" s="4" t="s">
        <v>202</v>
      </c>
      <c r="D18" s="4" t="s">
        <v>208</v>
      </c>
      <c r="E18" s="4">
        <v>3</v>
      </c>
      <c r="F18" s="4" t="s">
        <v>212</v>
      </c>
      <c r="G18" s="4" t="s">
        <v>231</v>
      </c>
      <c r="H18" s="4" t="s">
        <v>416</v>
      </c>
      <c r="I18" s="4" t="s">
        <v>420</v>
      </c>
      <c r="J18" s="4" t="s">
        <v>425</v>
      </c>
      <c r="K18" s="4" t="s">
        <v>430</v>
      </c>
      <c r="L18" s="4">
        <f t="shared" si="0"/>
        <v>80.34</v>
      </c>
      <c r="M18" s="4">
        <v>26.78</v>
      </c>
    </row>
    <row r="19" spans="1:13" x14ac:dyDescent="0.3">
      <c r="A19" s="4" t="s">
        <v>28</v>
      </c>
      <c r="B19" s="4" t="s">
        <v>197</v>
      </c>
      <c r="C19" s="4" t="s">
        <v>200</v>
      </c>
      <c r="D19" s="4" t="s">
        <v>203</v>
      </c>
      <c r="E19" s="4">
        <v>3</v>
      </c>
      <c r="F19" s="4" t="s">
        <v>214</v>
      </c>
      <c r="G19" s="4" t="s">
        <v>232</v>
      </c>
      <c r="H19" s="4" t="s">
        <v>418</v>
      </c>
      <c r="I19" s="4" t="s">
        <v>422</v>
      </c>
      <c r="J19" s="4" t="s">
        <v>424</v>
      </c>
      <c r="K19" s="4" t="s">
        <v>426</v>
      </c>
      <c r="L19" s="4">
        <f t="shared" si="0"/>
        <v>35.849999999999994</v>
      </c>
      <c r="M19" s="4">
        <v>11.95</v>
      </c>
    </row>
    <row r="20" spans="1:13" x14ac:dyDescent="0.3">
      <c r="A20" s="4" t="s">
        <v>29</v>
      </c>
      <c r="B20" s="4" t="s">
        <v>194</v>
      </c>
      <c r="C20" s="4" t="s">
        <v>202</v>
      </c>
      <c r="D20" s="4" t="s">
        <v>207</v>
      </c>
      <c r="E20" s="4">
        <v>3</v>
      </c>
      <c r="F20" s="4" t="s">
        <v>214</v>
      </c>
      <c r="G20" s="4" t="s">
        <v>233</v>
      </c>
      <c r="H20" s="4" t="s">
        <v>418</v>
      </c>
      <c r="I20" s="4" t="s">
        <v>420</v>
      </c>
      <c r="J20" s="4" t="s">
        <v>423</v>
      </c>
      <c r="K20" s="4" t="s">
        <v>428</v>
      </c>
      <c r="L20" s="4">
        <f t="shared" si="0"/>
        <v>801.18000000000006</v>
      </c>
      <c r="M20" s="4">
        <v>267.06</v>
      </c>
    </row>
    <row r="21" spans="1:13" x14ac:dyDescent="0.3">
      <c r="A21" s="4" t="s">
        <v>30</v>
      </c>
      <c r="B21" s="4" t="s">
        <v>196</v>
      </c>
      <c r="C21" s="4" t="s">
        <v>201</v>
      </c>
      <c r="D21" s="4" t="s">
        <v>207</v>
      </c>
      <c r="E21" s="4">
        <v>3</v>
      </c>
      <c r="F21" s="4" t="s">
        <v>212</v>
      </c>
      <c r="G21" s="4" t="s">
        <v>234</v>
      </c>
      <c r="H21" s="4" t="s">
        <v>415</v>
      </c>
      <c r="I21" s="4" t="s">
        <v>421</v>
      </c>
      <c r="J21" s="4" t="s">
        <v>424</v>
      </c>
      <c r="K21" s="4" t="s">
        <v>431</v>
      </c>
      <c r="L21" s="4">
        <f t="shared" si="0"/>
        <v>891.42</v>
      </c>
      <c r="M21" s="4">
        <v>297.14</v>
      </c>
    </row>
    <row r="22" spans="1:13" x14ac:dyDescent="0.3">
      <c r="A22" s="4" t="s">
        <v>31</v>
      </c>
      <c r="B22" s="4" t="s">
        <v>194</v>
      </c>
      <c r="C22" s="4" t="s">
        <v>202</v>
      </c>
      <c r="D22" s="4" t="s">
        <v>204</v>
      </c>
      <c r="E22" s="4">
        <v>7</v>
      </c>
      <c r="F22" s="4" t="s">
        <v>213</v>
      </c>
      <c r="G22" s="4" t="s">
        <v>235</v>
      </c>
      <c r="H22" s="4" t="s">
        <v>418</v>
      </c>
      <c r="I22" s="4" t="s">
        <v>419</v>
      </c>
      <c r="J22" s="4" t="s">
        <v>425</v>
      </c>
      <c r="K22" s="4" t="s">
        <v>429</v>
      </c>
      <c r="L22" s="4">
        <f t="shared" si="0"/>
        <v>1442.28</v>
      </c>
      <c r="M22" s="4">
        <v>206.04</v>
      </c>
    </row>
    <row r="23" spans="1:13" x14ac:dyDescent="0.3">
      <c r="A23" s="4" t="s">
        <v>32</v>
      </c>
      <c r="B23" s="4" t="s">
        <v>198</v>
      </c>
      <c r="C23" s="4" t="s">
        <v>201</v>
      </c>
      <c r="D23" s="4" t="s">
        <v>206</v>
      </c>
      <c r="E23" s="4">
        <v>8</v>
      </c>
      <c r="F23" s="4" t="s">
        <v>210</v>
      </c>
      <c r="G23" s="4" t="s">
        <v>236</v>
      </c>
      <c r="H23" s="4" t="s">
        <v>417</v>
      </c>
      <c r="I23" s="4" t="s">
        <v>422</v>
      </c>
      <c r="J23" s="4" t="s">
        <v>423</v>
      </c>
      <c r="K23" s="4" t="s">
        <v>430</v>
      </c>
      <c r="L23" s="4">
        <f t="shared" si="0"/>
        <v>2319.92</v>
      </c>
      <c r="M23" s="4">
        <v>289.99</v>
      </c>
    </row>
    <row r="24" spans="1:13" x14ac:dyDescent="0.3">
      <c r="A24" s="4" t="s">
        <v>33</v>
      </c>
      <c r="B24" s="4" t="s">
        <v>191</v>
      </c>
      <c r="C24" s="4" t="s">
        <v>199</v>
      </c>
      <c r="D24" s="4" t="s">
        <v>204</v>
      </c>
      <c r="E24" s="4">
        <v>1</v>
      </c>
      <c r="F24" s="4" t="s">
        <v>211</v>
      </c>
      <c r="G24" s="4" t="s">
        <v>237</v>
      </c>
      <c r="H24" s="4" t="s">
        <v>417</v>
      </c>
      <c r="I24" s="4" t="s">
        <v>420</v>
      </c>
      <c r="J24" s="4" t="s">
        <v>424</v>
      </c>
      <c r="K24" s="4" t="s">
        <v>429</v>
      </c>
      <c r="L24" s="4">
        <f t="shared" si="0"/>
        <v>78.56</v>
      </c>
      <c r="M24" s="4">
        <v>78.56</v>
      </c>
    </row>
    <row r="25" spans="1:13" x14ac:dyDescent="0.3">
      <c r="A25" s="4" t="s">
        <v>34</v>
      </c>
      <c r="B25" s="4" t="s">
        <v>190</v>
      </c>
      <c r="C25" s="4" t="s">
        <v>199</v>
      </c>
      <c r="D25" s="4" t="s">
        <v>209</v>
      </c>
      <c r="E25" s="4">
        <v>5</v>
      </c>
      <c r="F25" s="4" t="s">
        <v>211</v>
      </c>
      <c r="G25" s="4" t="s">
        <v>238</v>
      </c>
      <c r="H25" s="4" t="s">
        <v>415</v>
      </c>
      <c r="I25" s="4" t="s">
        <v>422</v>
      </c>
      <c r="J25" s="4" t="s">
        <v>424</v>
      </c>
      <c r="K25" s="4" t="s">
        <v>428</v>
      </c>
      <c r="L25" s="4">
        <f t="shared" si="0"/>
        <v>1708.4</v>
      </c>
      <c r="M25" s="4">
        <v>341.68</v>
      </c>
    </row>
    <row r="26" spans="1:13" x14ac:dyDescent="0.3">
      <c r="A26" s="4" t="s">
        <v>35</v>
      </c>
      <c r="B26" s="4" t="s">
        <v>195</v>
      </c>
      <c r="C26" s="4" t="s">
        <v>201</v>
      </c>
      <c r="D26" s="4" t="s">
        <v>204</v>
      </c>
      <c r="E26" s="4">
        <v>5</v>
      </c>
      <c r="F26" s="4" t="s">
        <v>213</v>
      </c>
      <c r="G26" s="4" t="s">
        <v>239</v>
      </c>
      <c r="H26" s="4" t="s">
        <v>417</v>
      </c>
      <c r="I26" s="4" t="s">
        <v>422</v>
      </c>
      <c r="J26" s="4" t="s">
        <v>425</v>
      </c>
      <c r="K26" s="4" t="s">
        <v>432</v>
      </c>
      <c r="L26" s="4">
        <f t="shared" si="0"/>
        <v>1737.25</v>
      </c>
      <c r="M26" s="4">
        <v>347.45</v>
      </c>
    </row>
    <row r="27" spans="1:13" x14ac:dyDescent="0.3">
      <c r="A27" s="4" t="s">
        <v>36</v>
      </c>
      <c r="B27" s="4" t="s">
        <v>193</v>
      </c>
      <c r="C27" s="4" t="s">
        <v>199</v>
      </c>
      <c r="D27" s="4" t="s">
        <v>205</v>
      </c>
      <c r="E27" s="4">
        <v>9</v>
      </c>
      <c r="F27" s="4" t="s">
        <v>211</v>
      </c>
      <c r="G27" s="4" t="s">
        <v>240</v>
      </c>
      <c r="H27" s="4" t="s">
        <v>416</v>
      </c>
      <c r="I27" s="4" t="s">
        <v>419</v>
      </c>
      <c r="J27" s="4" t="s">
        <v>424</v>
      </c>
      <c r="K27" s="4" t="s">
        <v>432</v>
      </c>
      <c r="L27" s="4">
        <f t="shared" si="0"/>
        <v>2238.84</v>
      </c>
      <c r="M27" s="4">
        <v>248.76</v>
      </c>
    </row>
    <row r="28" spans="1:13" x14ac:dyDescent="0.3">
      <c r="A28" s="4" t="s">
        <v>37</v>
      </c>
      <c r="B28" s="4" t="s">
        <v>197</v>
      </c>
      <c r="C28" s="4" t="s">
        <v>200</v>
      </c>
      <c r="D28" s="4" t="s">
        <v>205</v>
      </c>
      <c r="E28" s="4">
        <v>2</v>
      </c>
      <c r="F28" s="4" t="s">
        <v>211</v>
      </c>
      <c r="G28" s="4" t="s">
        <v>241</v>
      </c>
      <c r="H28" s="4" t="s">
        <v>416</v>
      </c>
      <c r="I28" s="4" t="s">
        <v>422</v>
      </c>
      <c r="J28" s="4" t="s">
        <v>424</v>
      </c>
      <c r="K28" s="4" t="s">
        <v>429</v>
      </c>
      <c r="L28" s="4">
        <f t="shared" si="0"/>
        <v>509.96</v>
      </c>
      <c r="M28" s="4">
        <v>254.98</v>
      </c>
    </row>
    <row r="29" spans="1:13" x14ac:dyDescent="0.3">
      <c r="A29" s="4" t="s">
        <v>38</v>
      </c>
      <c r="B29" s="4" t="s">
        <v>195</v>
      </c>
      <c r="C29" s="4" t="s">
        <v>202</v>
      </c>
      <c r="D29" s="4" t="s">
        <v>204</v>
      </c>
      <c r="E29" s="4">
        <v>3</v>
      </c>
      <c r="F29" s="4" t="s">
        <v>212</v>
      </c>
      <c r="G29" s="4" t="s">
        <v>242</v>
      </c>
      <c r="H29" s="4" t="s">
        <v>414</v>
      </c>
      <c r="I29" s="4" t="s">
        <v>421</v>
      </c>
      <c r="J29" s="4" t="s">
        <v>424</v>
      </c>
      <c r="K29" s="4" t="s">
        <v>429</v>
      </c>
      <c r="L29" s="4">
        <f t="shared" si="0"/>
        <v>658.8</v>
      </c>
      <c r="M29" s="4">
        <v>219.6</v>
      </c>
    </row>
    <row r="30" spans="1:13" x14ac:dyDescent="0.3">
      <c r="A30" s="4" t="s">
        <v>39</v>
      </c>
      <c r="B30" s="4" t="s">
        <v>189</v>
      </c>
      <c r="C30" s="4" t="s">
        <v>200</v>
      </c>
      <c r="D30" s="4" t="s">
        <v>208</v>
      </c>
      <c r="E30" s="4">
        <v>6</v>
      </c>
      <c r="F30" s="4" t="s">
        <v>213</v>
      </c>
      <c r="G30" s="4" t="s">
        <v>243</v>
      </c>
      <c r="H30" s="4" t="s">
        <v>414</v>
      </c>
      <c r="I30" s="4" t="s">
        <v>422</v>
      </c>
      <c r="J30" s="4" t="s">
        <v>424</v>
      </c>
      <c r="K30" s="4" t="s">
        <v>427</v>
      </c>
      <c r="L30" s="4">
        <f t="shared" si="0"/>
        <v>1866.66</v>
      </c>
      <c r="M30" s="4">
        <v>311.11</v>
      </c>
    </row>
    <row r="31" spans="1:13" x14ac:dyDescent="0.3">
      <c r="A31" s="4" t="s">
        <v>40</v>
      </c>
      <c r="B31" s="4" t="s">
        <v>195</v>
      </c>
      <c r="C31" s="4" t="s">
        <v>200</v>
      </c>
      <c r="D31" s="4" t="s">
        <v>205</v>
      </c>
      <c r="E31" s="4">
        <v>5</v>
      </c>
      <c r="F31" s="4" t="s">
        <v>210</v>
      </c>
      <c r="G31" s="4" t="s">
        <v>244</v>
      </c>
      <c r="H31" s="4" t="s">
        <v>417</v>
      </c>
      <c r="I31" s="4" t="s">
        <v>420</v>
      </c>
      <c r="J31" s="4" t="s">
        <v>423</v>
      </c>
      <c r="K31" s="4" t="s">
        <v>432</v>
      </c>
      <c r="L31" s="4">
        <f t="shared" si="0"/>
        <v>205.45000000000002</v>
      </c>
      <c r="M31" s="4">
        <v>41.09</v>
      </c>
    </row>
    <row r="32" spans="1:13" x14ac:dyDescent="0.3">
      <c r="A32" s="4" t="s">
        <v>41</v>
      </c>
      <c r="B32" s="4" t="s">
        <v>197</v>
      </c>
      <c r="C32" s="4" t="s">
        <v>200</v>
      </c>
      <c r="D32" s="4" t="s">
        <v>209</v>
      </c>
      <c r="E32" s="4">
        <v>6</v>
      </c>
      <c r="F32" s="4" t="s">
        <v>210</v>
      </c>
      <c r="G32" s="4" t="s">
        <v>245</v>
      </c>
      <c r="H32" s="4" t="s">
        <v>416</v>
      </c>
      <c r="I32" s="4" t="s">
        <v>420</v>
      </c>
      <c r="J32" s="4" t="s">
        <v>425</v>
      </c>
      <c r="K32" s="4" t="s">
        <v>427</v>
      </c>
      <c r="L32" s="4">
        <f t="shared" si="0"/>
        <v>1163.6999999999998</v>
      </c>
      <c r="M32" s="4">
        <v>193.95</v>
      </c>
    </row>
    <row r="33" spans="1:13" x14ac:dyDescent="0.3">
      <c r="A33" s="4" t="s">
        <v>42</v>
      </c>
      <c r="B33" s="4" t="s">
        <v>197</v>
      </c>
      <c r="C33" s="4" t="s">
        <v>201</v>
      </c>
      <c r="D33" s="4" t="s">
        <v>208</v>
      </c>
      <c r="E33" s="4">
        <v>1</v>
      </c>
      <c r="F33" s="4" t="s">
        <v>214</v>
      </c>
      <c r="G33" s="4" t="s">
        <v>246</v>
      </c>
      <c r="H33" s="4" t="s">
        <v>415</v>
      </c>
      <c r="I33" s="4" t="s">
        <v>419</v>
      </c>
      <c r="J33" s="4" t="s">
        <v>423</v>
      </c>
      <c r="K33" s="4" t="s">
        <v>431</v>
      </c>
      <c r="L33" s="4">
        <f t="shared" si="0"/>
        <v>177.74</v>
      </c>
      <c r="M33" s="4">
        <v>177.74</v>
      </c>
    </row>
    <row r="34" spans="1:13" x14ac:dyDescent="0.3">
      <c r="A34" s="4" t="s">
        <v>43</v>
      </c>
      <c r="B34" s="4" t="s">
        <v>192</v>
      </c>
      <c r="C34" s="4" t="s">
        <v>200</v>
      </c>
      <c r="D34" s="4" t="s">
        <v>209</v>
      </c>
      <c r="E34" s="4">
        <v>1</v>
      </c>
      <c r="F34" s="4" t="s">
        <v>212</v>
      </c>
      <c r="G34" s="4" t="s">
        <v>247</v>
      </c>
      <c r="H34" s="4" t="s">
        <v>414</v>
      </c>
      <c r="I34" s="4" t="s">
        <v>422</v>
      </c>
      <c r="J34" s="4" t="s">
        <v>424</v>
      </c>
      <c r="K34" s="4" t="s">
        <v>428</v>
      </c>
      <c r="L34" s="4">
        <f t="shared" si="0"/>
        <v>152.05000000000001</v>
      </c>
      <c r="M34" s="4">
        <v>152.05000000000001</v>
      </c>
    </row>
    <row r="35" spans="1:13" x14ac:dyDescent="0.3">
      <c r="A35" s="4" t="s">
        <v>44</v>
      </c>
      <c r="B35" s="4" t="s">
        <v>194</v>
      </c>
      <c r="C35" s="4" t="s">
        <v>201</v>
      </c>
      <c r="D35" s="4" t="s">
        <v>204</v>
      </c>
      <c r="E35" s="4">
        <v>7</v>
      </c>
      <c r="F35" s="4" t="s">
        <v>210</v>
      </c>
      <c r="G35" s="4" t="s">
        <v>248</v>
      </c>
      <c r="H35" s="4" t="s">
        <v>414</v>
      </c>
      <c r="I35" s="4" t="s">
        <v>420</v>
      </c>
      <c r="J35" s="4" t="s">
        <v>425</v>
      </c>
      <c r="K35" s="4" t="s">
        <v>432</v>
      </c>
      <c r="L35" s="4">
        <f t="shared" si="0"/>
        <v>977.06000000000006</v>
      </c>
      <c r="M35" s="4">
        <v>139.58000000000001</v>
      </c>
    </row>
    <row r="36" spans="1:13" x14ac:dyDescent="0.3">
      <c r="A36" s="4" t="s">
        <v>45</v>
      </c>
      <c r="B36" s="4" t="s">
        <v>191</v>
      </c>
      <c r="C36" s="4" t="s">
        <v>201</v>
      </c>
      <c r="D36" s="4" t="s">
        <v>208</v>
      </c>
      <c r="E36" s="4">
        <v>3</v>
      </c>
      <c r="F36" s="4" t="s">
        <v>212</v>
      </c>
      <c r="G36" s="4" t="s">
        <v>249</v>
      </c>
      <c r="H36" s="4" t="s">
        <v>417</v>
      </c>
      <c r="I36" s="4" t="s">
        <v>419</v>
      </c>
      <c r="J36" s="4" t="s">
        <v>424</v>
      </c>
      <c r="K36" s="4" t="s">
        <v>427</v>
      </c>
      <c r="L36" s="4">
        <f t="shared" si="0"/>
        <v>728.49</v>
      </c>
      <c r="M36" s="4">
        <v>242.83</v>
      </c>
    </row>
    <row r="37" spans="1:13" x14ac:dyDescent="0.3">
      <c r="A37" s="4" t="s">
        <v>46</v>
      </c>
      <c r="B37" s="4" t="s">
        <v>195</v>
      </c>
      <c r="C37" s="4" t="s">
        <v>202</v>
      </c>
      <c r="D37" s="4" t="s">
        <v>206</v>
      </c>
      <c r="E37" s="4">
        <v>8</v>
      </c>
      <c r="F37" s="4" t="s">
        <v>212</v>
      </c>
      <c r="G37" s="4" t="s">
        <v>250</v>
      </c>
      <c r="H37" s="4" t="s">
        <v>417</v>
      </c>
      <c r="I37" s="4" t="s">
        <v>420</v>
      </c>
      <c r="J37" s="4" t="s">
        <v>423</v>
      </c>
      <c r="K37" s="4" t="s">
        <v>428</v>
      </c>
      <c r="L37" s="4">
        <f t="shared" si="0"/>
        <v>1534.16</v>
      </c>
      <c r="M37" s="4">
        <v>191.77</v>
      </c>
    </row>
    <row r="38" spans="1:13" x14ac:dyDescent="0.3">
      <c r="A38" s="4" t="s">
        <v>47</v>
      </c>
      <c r="B38" s="4" t="s">
        <v>194</v>
      </c>
      <c r="C38" s="4" t="s">
        <v>201</v>
      </c>
      <c r="D38" s="4" t="s">
        <v>209</v>
      </c>
      <c r="E38" s="4">
        <v>3</v>
      </c>
      <c r="F38" s="4" t="s">
        <v>210</v>
      </c>
      <c r="G38" s="4" t="s">
        <v>251</v>
      </c>
      <c r="H38" s="4" t="s">
        <v>416</v>
      </c>
      <c r="I38" s="4" t="s">
        <v>420</v>
      </c>
      <c r="J38" s="4" t="s">
        <v>423</v>
      </c>
      <c r="K38" s="4" t="s">
        <v>432</v>
      </c>
      <c r="L38" s="4">
        <f t="shared" si="0"/>
        <v>1005.9000000000001</v>
      </c>
      <c r="M38" s="4">
        <v>335.3</v>
      </c>
    </row>
    <row r="39" spans="1:13" x14ac:dyDescent="0.3">
      <c r="A39" s="4" t="s">
        <v>48</v>
      </c>
      <c r="B39" s="4" t="s">
        <v>197</v>
      </c>
      <c r="C39" s="4" t="s">
        <v>201</v>
      </c>
      <c r="D39" s="4" t="s">
        <v>203</v>
      </c>
      <c r="E39" s="4">
        <v>9</v>
      </c>
      <c r="F39" s="4" t="s">
        <v>210</v>
      </c>
      <c r="G39" s="4" t="s">
        <v>252</v>
      </c>
      <c r="H39" s="4" t="s">
        <v>415</v>
      </c>
      <c r="I39" s="4" t="s">
        <v>420</v>
      </c>
      <c r="J39" s="4" t="s">
        <v>424</v>
      </c>
      <c r="K39" s="4" t="s">
        <v>430</v>
      </c>
      <c r="L39" s="4">
        <f t="shared" si="0"/>
        <v>2432.88</v>
      </c>
      <c r="M39" s="4">
        <v>270.32</v>
      </c>
    </row>
    <row r="40" spans="1:13" x14ac:dyDescent="0.3">
      <c r="A40" s="4" t="s">
        <v>49</v>
      </c>
      <c r="B40" s="4" t="s">
        <v>192</v>
      </c>
      <c r="C40" s="4" t="s">
        <v>199</v>
      </c>
      <c r="D40" s="4" t="s">
        <v>207</v>
      </c>
      <c r="E40" s="4">
        <v>4</v>
      </c>
      <c r="F40" s="4" t="s">
        <v>212</v>
      </c>
      <c r="G40" s="4" t="s">
        <v>253</v>
      </c>
      <c r="H40" s="4" t="s">
        <v>416</v>
      </c>
      <c r="I40" s="4" t="s">
        <v>419</v>
      </c>
      <c r="J40" s="4" t="s">
        <v>424</v>
      </c>
      <c r="K40" s="4" t="s">
        <v>427</v>
      </c>
      <c r="L40" s="4">
        <f t="shared" si="0"/>
        <v>1025.1600000000001</v>
      </c>
      <c r="M40" s="4">
        <v>256.29000000000002</v>
      </c>
    </row>
    <row r="41" spans="1:13" x14ac:dyDescent="0.3">
      <c r="A41" s="4" t="s">
        <v>47</v>
      </c>
      <c r="B41" s="4" t="s">
        <v>195</v>
      </c>
      <c r="C41" s="4" t="s">
        <v>200</v>
      </c>
      <c r="D41" s="4" t="s">
        <v>205</v>
      </c>
      <c r="E41" s="4">
        <v>1</v>
      </c>
      <c r="F41" s="4" t="s">
        <v>210</v>
      </c>
      <c r="G41" s="4" t="s">
        <v>254</v>
      </c>
      <c r="H41" s="4" t="s">
        <v>415</v>
      </c>
      <c r="I41" s="4" t="s">
        <v>420</v>
      </c>
      <c r="J41" s="4" t="s">
        <v>423</v>
      </c>
      <c r="K41" s="4" t="s">
        <v>428</v>
      </c>
      <c r="L41" s="4">
        <f t="shared" si="0"/>
        <v>314.48</v>
      </c>
      <c r="M41" s="4">
        <v>314.48</v>
      </c>
    </row>
    <row r="42" spans="1:13" x14ac:dyDescent="0.3">
      <c r="A42" s="4" t="s">
        <v>50</v>
      </c>
      <c r="B42" s="4" t="s">
        <v>192</v>
      </c>
      <c r="C42" s="4" t="s">
        <v>199</v>
      </c>
      <c r="D42" s="4" t="s">
        <v>205</v>
      </c>
      <c r="E42" s="4">
        <v>2</v>
      </c>
      <c r="F42" s="4" t="s">
        <v>211</v>
      </c>
      <c r="G42" s="4" t="s">
        <v>255</v>
      </c>
      <c r="H42" s="4" t="s">
        <v>417</v>
      </c>
      <c r="I42" s="4" t="s">
        <v>419</v>
      </c>
      <c r="J42" s="4" t="s">
        <v>424</v>
      </c>
      <c r="K42" s="4" t="s">
        <v>426</v>
      </c>
      <c r="L42" s="4">
        <f t="shared" si="0"/>
        <v>695.42</v>
      </c>
      <c r="M42" s="4">
        <v>347.71</v>
      </c>
    </row>
    <row r="43" spans="1:13" x14ac:dyDescent="0.3">
      <c r="A43" s="4" t="s">
        <v>51</v>
      </c>
      <c r="B43" s="4" t="s">
        <v>196</v>
      </c>
      <c r="C43" s="4" t="s">
        <v>202</v>
      </c>
      <c r="D43" s="4" t="s">
        <v>204</v>
      </c>
      <c r="E43" s="4">
        <v>5</v>
      </c>
      <c r="F43" s="4" t="s">
        <v>213</v>
      </c>
      <c r="G43" s="4" t="s">
        <v>256</v>
      </c>
      <c r="H43" s="4" t="s">
        <v>415</v>
      </c>
      <c r="I43" s="4" t="s">
        <v>422</v>
      </c>
      <c r="J43" s="4" t="s">
        <v>423</v>
      </c>
      <c r="K43" s="4" t="s">
        <v>427</v>
      </c>
      <c r="L43" s="4">
        <f t="shared" si="0"/>
        <v>315.3</v>
      </c>
      <c r="M43" s="4">
        <v>63.06</v>
      </c>
    </row>
    <row r="44" spans="1:13" x14ac:dyDescent="0.3">
      <c r="A44" s="4" t="s">
        <v>52</v>
      </c>
      <c r="B44" s="4" t="s">
        <v>191</v>
      </c>
      <c r="C44" s="4" t="s">
        <v>200</v>
      </c>
      <c r="D44" s="4" t="s">
        <v>205</v>
      </c>
      <c r="E44" s="4">
        <v>4</v>
      </c>
      <c r="F44" s="4" t="s">
        <v>214</v>
      </c>
      <c r="G44" s="4" t="s">
        <v>257</v>
      </c>
      <c r="H44" s="4" t="s">
        <v>418</v>
      </c>
      <c r="I44" s="4" t="s">
        <v>421</v>
      </c>
      <c r="J44" s="4" t="s">
        <v>424</v>
      </c>
      <c r="K44" s="4" t="s">
        <v>428</v>
      </c>
      <c r="L44" s="4">
        <f t="shared" si="0"/>
        <v>938.16</v>
      </c>
      <c r="M44" s="4">
        <v>234.54</v>
      </c>
    </row>
    <row r="45" spans="1:13" x14ac:dyDescent="0.3">
      <c r="A45" s="4" t="s">
        <v>53</v>
      </c>
      <c r="B45" s="4" t="s">
        <v>197</v>
      </c>
      <c r="C45" s="4" t="s">
        <v>199</v>
      </c>
      <c r="D45" s="4" t="s">
        <v>204</v>
      </c>
      <c r="E45" s="4">
        <v>2</v>
      </c>
      <c r="F45" s="4" t="s">
        <v>213</v>
      </c>
      <c r="G45" s="4" t="s">
        <v>258</v>
      </c>
      <c r="H45" s="4" t="s">
        <v>418</v>
      </c>
      <c r="I45" s="4" t="s">
        <v>421</v>
      </c>
      <c r="J45" s="4" t="s">
        <v>423</v>
      </c>
      <c r="K45" s="4" t="s">
        <v>430</v>
      </c>
      <c r="L45" s="4">
        <f t="shared" si="0"/>
        <v>86.84</v>
      </c>
      <c r="M45" s="4">
        <v>43.42</v>
      </c>
    </row>
    <row r="46" spans="1:13" x14ac:dyDescent="0.3">
      <c r="A46" s="4" t="s">
        <v>54</v>
      </c>
      <c r="B46" s="4" t="s">
        <v>198</v>
      </c>
      <c r="C46" s="4" t="s">
        <v>201</v>
      </c>
      <c r="D46" s="4" t="s">
        <v>209</v>
      </c>
      <c r="E46" s="4">
        <v>10</v>
      </c>
      <c r="F46" s="4" t="s">
        <v>210</v>
      </c>
      <c r="G46" s="4" t="s">
        <v>259</v>
      </c>
      <c r="H46" s="4" t="s">
        <v>414</v>
      </c>
      <c r="I46" s="4" t="s">
        <v>422</v>
      </c>
      <c r="J46" s="4" t="s">
        <v>423</v>
      </c>
      <c r="K46" s="4" t="s">
        <v>431</v>
      </c>
      <c r="L46" s="4">
        <f t="shared" si="0"/>
        <v>1372.3</v>
      </c>
      <c r="M46" s="4">
        <v>137.22999999999999</v>
      </c>
    </row>
    <row r="47" spans="1:13" x14ac:dyDescent="0.3">
      <c r="A47" s="4" t="s">
        <v>55</v>
      </c>
      <c r="B47" s="4" t="s">
        <v>193</v>
      </c>
      <c r="C47" s="4" t="s">
        <v>199</v>
      </c>
      <c r="D47" s="4" t="s">
        <v>208</v>
      </c>
      <c r="E47" s="4">
        <v>7</v>
      </c>
      <c r="F47" s="4" t="s">
        <v>210</v>
      </c>
      <c r="G47" s="4" t="s">
        <v>260</v>
      </c>
      <c r="H47" s="4" t="s">
        <v>414</v>
      </c>
      <c r="I47" s="4" t="s">
        <v>422</v>
      </c>
      <c r="J47" s="4" t="s">
        <v>424</v>
      </c>
      <c r="K47" s="4" t="s">
        <v>428</v>
      </c>
      <c r="L47" s="4">
        <f t="shared" si="0"/>
        <v>873.32</v>
      </c>
      <c r="M47" s="4">
        <v>124.76</v>
      </c>
    </row>
    <row r="48" spans="1:13" x14ac:dyDescent="0.3">
      <c r="A48" s="4" t="s">
        <v>56</v>
      </c>
      <c r="B48" s="4" t="s">
        <v>197</v>
      </c>
      <c r="C48" s="4" t="s">
        <v>199</v>
      </c>
      <c r="D48" s="4" t="s">
        <v>203</v>
      </c>
      <c r="E48" s="4">
        <v>3</v>
      </c>
      <c r="F48" s="4" t="s">
        <v>211</v>
      </c>
      <c r="G48" s="4" t="s">
        <v>261</v>
      </c>
      <c r="H48" s="4" t="s">
        <v>415</v>
      </c>
      <c r="I48" s="4" t="s">
        <v>421</v>
      </c>
      <c r="J48" s="4" t="s">
        <v>424</v>
      </c>
      <c r="K48" s="4" t="s">
        <v>429</v>
      </c>
      <c r="L48" s="4">
        <f t="shared" si="0"/>
        <v>266.73</v>
      </c>
      <c r="M48" s="4">
        <v>88.91</v>
      </c>
    </row>
    <row r="49" spans="1:13" x14ac:dyDescent="0.3">
      <c r="A49" s="4" t="s">
        <v>57</v>
      </c>
      <c r="B49" s="4" t="s">
        <v>191</v>
      </c>
      <c r="C49" s="4" t="s">
        <v>201</v>
      </c>
      <c r="D49" s="4" t="s">
        <v>209</v>
      </c>
      <c r="E49" s="4">
        <v>4</v>
      </c>
      <c r="F49" s="4" t="s">
        <v>211</v>
      </c>
      <c r="G49" s="4" t="s">
        <v>262</v>
      </c>
      <c r="H49" s="4" t="s">
        <v>418</v>
      </c>
      <c r="I49" s="4" t="s">
        <v>421</v>
      </c>
      <c r="J49" s="4" t="s">
        <v>425</v>
      </c>
      <c r="K49" s="4" t="s">
        <v>432</v>
      </c>
      <c r="L49" s="4">
        <f t="shared" si="0"/>
        <v>827.36</v>
      </c>
      <c r="M49" s="4">
        <v>206.84</v>
      </c>
    </row>
    <row r="50" spans="1:13" x14ac:dyDescent="0.3">
      <c r="A50" s="4" t="s">
        <v>58</v>
      </c>
      <c r="B50" s="4" t="s">
        <v>192</v>
      </c>
      <c r="C50" s="4" t="s">
        <v>202</v>
      </c>
      <c r="D50" s="4" t="s">
        <v>204</v>
      </c>
      <c r="E50" s="4">
        <v>10</v>
      </c>
      <c r="F50" s="4" t="s">
        <v>213</v>
      </c>
      <c r="G50" s="4" t="s">
        <v>263</v>
      </c>
      <c r="H50" s="4" t="s">
        <v>418</v>
      </c>
      <c r="I50" s="4" t="s">
        <v>420</v>
      </c>
      <c r="J50" s="4" t="s">
        <v>424</v>
      </c>
      <c r="K50" s="4" t="s">
        <v>428</v>
      </c>
      <c r="L50" s="4">
        <f t="shared" si="0"/>
        <v>209.8</v>
      </c>
      <c r="M50" s="4">
        <v>20.98</v>
      </c>
    </row>
    <row r="51" spans="1:13" x14ac:dyDescent="0.3">
      <c r="A51" s="4" t="s">
        <v>59</v>
      </c>
      <c r="B51" s="4" t="s">
        <v>194</v>
      </c>
      <c r="C51" s="4" t="s">
        <v>202</v>
      </c>
      <c r="D51" s="4" t="s">
        <v>204</v>
      </c>
      <c r="E51" s="4">
        <v>3</v>
      </c>
      <c r="F51" s="4" t="s">
        <v>214</v>
      </c>
      <c r="G51" s="4" t="s">
        <v>264</v>
      </c>
      <c r="H51" s="4" t="s">
        <v>417</v>
      </c>
      <c r="I51" s="4" t="s">
        <v>422</v>
      </c>
      <c r="J51" s="4" t="s">
        <v>424</v>
      </c>
      <c r="K51" s="4" t="s">
        <v>429</v>
      </c>
      <c r="L51" s="4">
        <f t="shared" si="0"/>
        <v>120.27000000000001</v>
      </c>
      <c r="M51" s="4">
        <v>40.090000000000003</v>
      </c>
    </row>
    <row r="52" spans="1:13" x14ac:dyDescent="0.3">
      <c r="A52" s="4" t="s">
        <v>60</v>
      </c>
      <c r="B52" s="4" t="s">
        <v>190</v>
      </c>
      <c r="C52" s="4" t="s">
        <v>199</v>
      </c>
      <c r="D52" s="4" t="s">
        <v>204</v>
      </c>
      <c r="E52" s="4">
        <v>2</v>
      </c>
      <c r="F52" s="4" t="s">
        <v>213</v>
      </c>
      <c r="G52" s="4" t="s">
        <v>265</v>
      </c>
      <c r="H52" s="4" t="s">
        <v>415</v>
      </c>
      <c r="I52" s="4" t="s">
        <v>419</v>
      </c>
      <c r="J52" s="4" t="s">
        <v>423</v>
      </c>
      <c r="K52" s="4" t="s">
        <v>428</v>
      </c>
      <c r="L52" s="4">
        <f t="shared" si="0"/>
        <v>84.98</v>
      </c>
      <c r="M52" s="4">
        <v>42.49</v>
      </c>
    </row>
    <row r="53" spans="1:13" x14ac:dyDescent="0.3">
      <c r="A53" s="4" t="s">
        <v>61</v>
      </c>
      <c r="B53" s="4" t="s">
        <v>192</v>
      </c>
      <c r="C53" s="4" t="s">
        <v>200</v>
      </c>
      <c r="D53" s="4" t="s">
        <v>208</v>
      </c>
      <c r="E53" s="4">
        <v>9</v>
      </c>
      <c r="F53" s="4" t="s">
        <v>212</v>
      </c>
      <c r="G53" s="4" t="s">
        <v>266</v>
      </c>
      <c r="H53" s="4" t="s">
        <v>418</v>
      </c>
      <c r="I53" s="4" t="s">
        <v>419</v>
      </c>
      <c r="J53" s="4" t="s">
        <v>423</v>
      </c>
      <c r="K53" s="4" t="s">
        <v>431</v>
      </c>
      <c r="L53" s="4">
        <f t="shared" si="0"/>
        <v>449.91</v>
      </c>
      <c r="M53" s="4">
        <v>49.99</v>
      </c>
    </row>
    <row r="54" spans="1:13" x14ac:dyDescent="0.3">
      <c r="A54" s="4" t="s">
        <v>62</v>
      </c>
      <c r="B54" s="4" t="s">
        <v>190</v>
      </c>
      <c r="C54" s="4" t="s">
        <v>200</v>
      </c>
      <c r="D54" s="4" t="s">
        <v>209</v>
      </c>
      <c r="E54" s="4">
        <v>3</v>
      </c>
      <c r="F54" s="4" t="s">
        <v>210</v>
      </c>
      <c r="G54" s="4" t="s">
        <v>267</v>
      </c>
      <c r="H54" s="4" t="s">
        <v>414</v>
      </c>
      <c r="I54" s="4" t="s">
        <v>419</v>
      </c>
      <c r="J54" s="4" t="s">
        <v>423</v>
      </c>
      <c r="K54" s="4" t="s">
        <v>429</v>
      </c>
      <c r="L54" s="4">
        <f t="shared" si="0"/>
        <v>201.06</v>
      </c>
      <c r="M54" s="4">
        <v>67.02</v>
      </c>
    </row>
    <row r="55" spans="1:13" x14ac:dyDescent="0.3">
      <c r="A55" s="4" t="s">
        <v>63</v>
      </c>
      <c r="B55" s="4" t="s">
        <v>191</v>
      </c>
      <c r="C55" s="4" t="s">
        <v>202</v>
      </c>
      <c r="D55" s="4" t="s">
        <v>207</v>
      </c>
      <c r="E55" s="4">
        <v>4</v>
      </c>
      <c r="F55" s="4" t="s">
        <v>210</v>
      </c>
      <c r="G55" s="4" t="s">
        <v>268</v>
      </c>
      <c r="H55" s="4" t="s">
        <v>414</v>
      </c>
      <c r="I55" s="4" t="s">
        <v>420</v>
      </c>
      <c r="J55" s="4" t="s">
        <v>424</v>
      </c>
      <c r="K55" s="4" t="s">
        <v>431</v>
      </c>
      <c r="L55" s="4">
        <f t="shared" si="0"/>
        <v>33.880000000000003</v>
      </c>
      <c r="M55" s="4">
        <v>8.4700000000000006</v>
      </c>
    </row>
    <row r="56" spans="1:13" x14ac:dyDescent="0.3">
      <c r="A56" s="4" t="s">
        <v>38</v>
      </c>
      <c r="B56" s="4" t="s">
        <v>194</v>
      </c>
      <c r="C56" s="4" t="s">
        <v>202</v>
      </c>
      <c r="D56" s="4" t="s">
        <v>209</v>
      </c>
      <c r="E56" s="4">
        <v>3</v>
      </c>
      <c r="F56" s="4" t="s">
        <v>212</v>
      </c>
      <c r="G56" s="4" t="s">
        <v>269</v>
      </c>
      <c r="H56" s="4" t="s">
        <v>417</v>
      </c>
      <c r="I56" s="4" t="s">
        <v>419</v>
      </c>
      <c r="J56" s="4" t="s">
        <v>424</v>
      </c>
      <c r="K56" s="4" t="s">
        <v>426</v>
      </c>
      <c r="L56" s="4">
        <f t="shared" si="0"/>
        <v>910.05000000000007</v>
      </c>
      <c r="M56" s="4">
        <v>303.35000000000002</v>
      </c>
    </row>
    <row r="57" spans="1:13" x14ac:dyDescent="0.3">
      <c r="A57" s="4" t="s">
        <v>64</v>
      </c>
      <c r="B57" s="4" t="s">
        <v>196</v>
      </c>
      <c r="C57" s="4" t="s">
        <v>200</v>
      </c>
      <c r="D57" s="4" t="s">
        <v>205</v>
      </c>
      <c r="E57" s="4">
        <v>7</v>
      </c>
      <c r="F57" s="4" t="s">
        <v>214</v>
      </c>
      <c r="G57" s="4" t="s">
        <v>270</v>
      </c>
      <c r="H57" s="4" t="s">
        <v>414</v>
      </c>
      <c r="I57" s="4" t="s">
        <v>421</v>
      </c>
      <c r="J57" s="4" t="s">
        <v>423</v>
      </c>
      <c r="K57" s="4" t="s">
        <v>429</v>
      </c>
      <c r="L57" s="4">
        <f t="shared" si="0"/>
        <v>711.13</v>
      </c>
      <c r="M57" s="4">
        <v>101.59</v>
      </c>
    </row>
    <row r="58" spans="1:13" x14ac:dyDescent="0.3">
      <c r="A58" s="4" t="s">
        <v>65</v>
      </c>
      <c r="B58" s="4" t="s">
        <v>198</v>
      </c>
      <c r="C58" s="4" t="s">
        <v>202</v>
      </c>
      <c r="D58" s="4" t="s">
        <v>208</v>
      </c>
      <c r="E58" s="4">
        <v>1</v>
      </c>
      <c r="F58" s="4" t="s">
        <v>210</v>
      </c>
      <c r="G58" s="4" t="s">
        <v>271</v>
      </c>
      <c r="H58" s="4" t="s">
        <v>415</v>
      </c>
      <c r="I58" s="4" t="s">
        <v>419</v>
      </c>
      <c r="J58" s="4" t="s">
        <v>424</v>
      </c>
      <c r="K58" s="4" t="s">
        <v>426</v>
      </c>
      <c r="L58" s="4">
        <f t="shared" si="0"/>
        <v>263.81</v>
      </c>
      <c r="M58" s="4">
        <v>263.81</v>
      </c>
    </row>
    <row r="59" spans="1:13" x14ac:dyDescent="0.3">
      <c r="A59" s="4" t="s">
        <v>48</v>
      </c>
      <c r="B59" s="4" t="s">
        <v>198</v>
      </c>
      <c r="C59" s="4" t="s">
        <v>201</v>
      </c>
      <c r="D59" s="4" t="s">
        <v>207</v>
      </c>
      <c r="E59" s="4">
        <v>6</v>
      </c>
      <c r="F59" s="4" t="s">
        <v>211</v>
      </c>
      <c r="G59" s="4" t="s">
        <v>272</v>
      </c>
      <c r="H59" s="4" t="s">
        <v>414</v>
      </c>
      <c r="I59" s="4" t="s">
        <v>422</v>
      </c>
      <c r="J59" s="4" t="s">
        <v>424</v>
      </c>
      <c r="K59" s="4" t="s">
        <v>426</v>
      </c>
      <c r="L59" s="4">
        <f t="shared" si="0"/>
        <v>382.68</v>
      </c>
      <c r="M59" s="4">
        <v>63.78</v>
      </c>
    </row>
    <row r="60" spans="1:13" x14ac:dyDescent="0.3">
      <c r="A60" s="4" t="s">
        <v>66</v>
      </c>
      <c r="B60" s="4" t="s">
        <v>195</v>
      </c>
      <c r="C60" s="4" t="s">
        <v>202</v>
      </c>
      <c r="D60" s="4" t="s">
        <v>209</v>
      </c>
      <c r="E60" s="4">
        <v>7</v>
      </c>
      <c r="F60" s="4" t="s">
        <v>212</v>
      </c>
      <c r="G60" s="4" t="s">
        <v>273</v>
      </c>
      <c r="H60" s="4" t="s">
        <v>418</v>
      </c>
      <c r="I60" s="4" t="s">
        <v>419</v>
      </c>
      <c r="J60" s="4" t="s">
        <v>424</v>
      </c>
      <c r="K60" s="4" t="s">
        <v>429</v>
      </c>
      <c r="L60" s="4">
        <f t="shared" si="0"/>
        <v>2059.19</v>
      </c>
      <c r="M60" s="4">
        <v>294.17</v>
      </c>
    </row>
    <row r="61" spans="1:13" x14ac:dyDescent="0.3">
      <c r="A61" s="4" t="s">
        <v>67</v>
      </c>
      <c r="B61" s="4" t="s">
        <v>198</v>
      </c>
      <c r="C61" s="4" t="s">
        <v>202</v>
      </c>
      <c r="D61" s="4" t="s">
        <v>208</v>
      </c>
      <c r="E61" s="4">
        <v>6</v>
      </c>
      <c r="F61" s="4" t="s">
        <v>212</v>
      </c>
      <c r="G61" s="4" t="s">
        <v>274</v>
      </c>
      <c r="H61" s="4" t="s">
        <v>415</v>
      </c>
      <c r="I61" s="4" t="s">
        <v>419</v>
      </c>
      <c r="J61" s="4" t="s">
        <v>423</v>
      </c>
      <c r="K61" s="4" t="s">
        <v>427</v>
      </c>
      <c r="L61" s="4">
        <f t="shared" si="0"/>
        <v>2029.5</v>
      </c>
      <c r="M61" s="4">
        <v>338.25</v>
      </c>
    </row>
    <row r="62" spans="1:13" x14ac:dyDescent="0.3">
      <c r="A62" s="4" t="s">
        <v>68</v>
      </c>
      <c r="B62" s="4" t="s">
        <v>198</v>
      </c>
      <c r="C62" s="4" t="s">
        <v>202</v>
      </c>
      <c r="D62" s="4" t="s">
        <v>203</v>
      </c>
      <c r="E62" s="4">
        <v>8</v>
      </c>
      <c r="F62" s="4" t="s">
        <v>212</v>
      </c>
      <c r="G62" s="4" t="s">
        <v>275</v>
      </c>
      <c r="H62" s="4" t="s">
        <v>415</v>
      </c>
      <c r="I62" s="4" t="s">
        <v>421</v>
      </c>
      <c r="J62" s="4" t="s">
        <v>423</v>
      </c>
      <c r="K62" s="4" t="s">
        <v>432</v>
      </c>
      <c r="L62" s="4">
        <f t="shared" si="0"/>
        <v>2292</v>
      </c>
      <c r="M62" s="4">
        <v>286.5</v>
      </c>
    </row>
    <row r="63" spans="1:13" x14ac:dyDescent="0.3">
      <c r="A63" s="4" t="s">
        <v>69</v>
      </c>
      <c r="B63" s="4" t="s">
        <v>189</v>
      </c>
      <c r="C63" s="4" t="s">
        <v>202</v>
      </c>
      <c r="D63" s="4" t="s">
        <v>207</v>
      </c>
      <c r="E63" s="4">
        <v>7</v>
      </c>
      <c r="F63" s="4" t="s">
        <v>210</v>
      </c>
      <c r="G63" s="4" t="s">
        <v>276</v>
      </c>
      <c r="H63" s="4" t="s">
        <v>418</v>
      </c>
      <c r="I63" s="4" t="s">
        <v>420</v>
      </c>
      <c r="J63" s="4" t="s">
        <v>424</v>
      </c>
      <c r="K63" s="4" t="s">
        <v>430</v>
      </c>
      <c r="L63" s="4">
        <f t="shared" si="0"/>
        <v>1547.77</v>
      </c>
      <c r="M63" s="4">
        <v>221.11</v>
      </c>
    </row>
    <row r="64" spans="1:13" x14ac:dyDescent="0.3">
      <c r="A64" s="4" t="s">
        <v>70</v>
      </c>
      <c r="B64" s="4" t="s">
        <v>196</v>
      </c>
      <c r="C64" s="4" t="s">
        <v>199</v>
      </c>
      <c r="D64" s="4" t="s">
        <v>204</v>
      </c>
      <c r="E64" s="4">
        <v>2</v>
      </c>
      <c r="F64" s="4" t="s">
        <v>213</v>
      </c>
      <c r="G64" s="4" t="s">
        <v>277</v>
      </c>
      <c r="H64" s="4" t="s">
        <v>414</v>
      </c>
      <c r="I64" s="4" t="s">
        <v>420</v>
      </c>
      <c r="J64" s="4" t="s">
        <v>424</v>
      </c>
      <c r="K64" s="4" t="s">
        <v>431</v>
      </c>
      <c r="L64" s="4">
        <f t="shared" si="0"/>
        <v>735.76</v>
      </c>
      <c r="M64" s="4">
        <v>367.88</v>
      </c>
    </row>
    <row r="65" spans="1:13" x14ac:dyDescent="0.3">
      <c r="A65" s="4" t="s">
        <v>71</v>
      </c>
      <c r="B65" s="4" t="s">
        <v>191</v>
      </c>
      <c r="C65" s="4" t="s">
        <v>199</v>
      </c>
      <c r="D65" s="4" t="s">
        <v>205</v>
      </c>
      <c r="E65" s="4">
        <v>7</v>
      </c>
      <c r="F65" s="4" t="s">
        <v>214</v>
      </c>
      <c r="G65" s="4" t="s">
        <v>278</v>
      </c>
      <c r="H65" s="4" t="s">
        <v>418</v>
      </c>
      <c r="I65" s="4" t="s">
        <v>421</v>
      </c>
      <c r="J65" s="4" t="s">
        <v>423</v>
      </c>
      <c r="K65" s="4" t="s">
        <v>431</v>
      </c>
      <c r="L65" s="4">
        <f t="shared" si="0"/>
        <v>2716.14</v>
      </c>
      <c r="M65" s="4">
        <v>388.02</v>
      </c>
    </row>
    <row r="66" spans="1:13" x14ac:dyDescent="0.3">
      <c r="A66" s="4" t="s">
        <v>72</v>
      </c>
      <c r="B66" s="4" t="s">
        <v>193</v>
      </c>
      <c r="C66" s="4" t="s">
        <v>199</v>
      </c>
      <c r="D66" s="4" t="s">
        <v>205</v>
      </c>
      <c r="E66" s="4">
        <v>5</v>
      </c>
      <c r="F66" s="4" t="s">
        <v>211</v>
      </c>
      <c r="G66" s="4" t="s">
        <v>279</v>
      </c>
      <c r="H66" s="4" t="s">
        <v>418</v>
      </c>
      <c r="I66" s="4" t="s">
        <v>421</v>
      </c>
      <c r="J66" s="4" t="s">
        <v>424</v>
      </c>
      <c r="K66" s="4" t="s">
        <v>431</v>
      </c>
      <c r="L66" s="4">
        <f t="shared" si="0"/>
        <v>609.6</v>
      </c>
      <c r="M66" s="4">
        <v>121.92</v>
      </c>
    </row>
    <row r="67" spans="1:13" x14ac:dyDescent="0.3">
      <c r="A67" s="4" t="s">
        <v>73</v>
      </c>
      <c r="B67" s="4" t="s">
        <v>195</v>
      </c>
      <c r="C67" s="4" t="s">
        <v>199</v>
      </c>
      <c r="D67" s="4" t="s">
        <v>204</v>
      </c>
      <c r="E67" s="4">
        <v>10</v>
      </c>
      <c r="F67" s="4" t="s">
        <v>213</v>
      </c>
      <c r="G67" s="4" t="s">
        <v>280</v>
      </c>
      <c r="H67" s="4" t="s">
        <v>417</v>
      </c>
      <c r="I67" s="4" t="s">
        <v>419</v>
      </c>
      <c r="J67" s="4" t="s">
        <v>424</v>
      </c>
      <c r="K67" s="4" t="s">
        <v>427</v>
      </c>
      <c r="L67" s="4">
        <f t="shared" ref="L67:L130" si="1">PRODUCT(M67,E67)</f>
        <v>3063.7</v>
      </c>
      <c r="M67" s="4">
        <v>306.37</v>
      </c>
    </row>
    <row r="68" spans="1:13" x14ac:dyDescent="0.3">
      <c r="A68" s="4" t="s">
        <v>74</v>
      </c>
      <c r="B68" s="4" t="s">
        <v>190</v>
      </c>
      <c r="C68" s="4" t="s">
        <v>199</v>
      </c>
      <c r="D68" s="4" t="s">
        <v>209</v>
      </c>
      <c r="E68" s="4">
        <v>10</v>
      </c>
      <c r="F68" s="4" t="s">
        <v>212</v>
      </c>
      <c r="G68" s="4" t="s">
        <v>281</v>
      </c>
      <c r="H68" s="4" t="s">
        <v>414</v>
      </c>
      <c r="I68" s="4" t="s">
        <v>422</v>
      </c>
      <c r="J68" s="4" t="s">
        <v>423</v>
      </c>
      <c r="K68" s="4" t="s">
        <v>432</v>
      </c>
      <c r="L68" s="4">
        <f t="shared" si="1"/>
        <v>2416</v>
      </c>
      <c r="M68" s="4">
        <v>241.6</v>
      </c>
    </row>
    <row r="69" spans="1:13" x14ac:dyDescent="0.3">
      <c r="A69" s="4" t="s">
        <v>75</v>
      </c>
      <c r="B69" s="4" t="s">
        <v>190</v>
      </c>
      <c r="C69" s="4" t="s">
        <v>200</v>
      </c>
      <c r="D69" s="4" t="s">
        <v>207</v>
      </c>
      <c r="E69" s="4">
        <v>8</v>
      </c>
      <c r="F69" s="4" t="s">
        <v>210</v>
      </c>
      <c r="G69" s="4" t="s">
        <v>282</v>
      </c>
      <c r="H69" s="4" t="s">
        <v>417</v>
      </c>
      <c r="I69" s="4" t="s">
        <v>419</v>
      </c>
      <c r="J69" s="4" t="s">
        <v>424</v>
      </c>
      <c r="K69" s="4" t="s">
        <v>429</v>
      </c>
      <c r="L69" s="4">
        <f t="shared" si="1"/>
        <v>2834.32</v>
      </c>
      <c r="M69" s="4">
        <v>354.29</v>
      </c>
    </row>
    <row r="70" spans="1:13" x14ac:dyDescent="0.3">
      <c r="A70" s="4" t="s">
        <v>76</v>
      </c>
      <c r="B70" s="4" t="s">
        <v>193</v>
      </c>
      <c r="C70" s="4" t="s">
        <v>202</v>
      </c>
      <c r="D70" s="4" t="s">
        <v>203</v>
      </c>
      <c r="E70" s="4">
        <v>4</v>
      </c>
      <c r="F70" s="4" t="s">
        <v>212</v>
      </c>
      <c r="G70" s="4" t="s">
        <v>283</v>
      </c>
      <c r="H70" s="4" t="s">
        <v>417</v>
      </c>
      <c r="I70" s="4" t="s">
        <v>420</v>
      </c>
      <c r="J70" s="4" t="s">
        <v>425</v>
      </c>
      <c r="K70" s="4" t="s">
        <v>427</v>
      </c>
      <c r="L70" s="4">
        <f t="shared" si="1"/>
        <v>532.04</v>
      </c>
      <c r="M70" s="4">
        <v>133.01</v>
      </c>
    </row>
    <row r="71" spans="1:13" x14ac:dyDescent="0.3">
      <c r="A71" s="4" t="s">
        <v>77</v>
      </c>
      <c r="B71" s="4" t="s">
        <v>194</v>
      </c>
      <c r="C71" s="4" t="s">
        <v>199</v>
      </c>
      <c r="D71" s="4" t="s">
        <v>209</v>
      </c>
      <c r="E71" s="4">
        <v>1</v>
      </c>
      <c r="F71" s="4" t="s">
        <v>210</v>
      </c>
      <c r="G71" s="4" t="s">
        <v>284</v>
      </c>
      <c r="H71" s="4" t="s">
        <v>417</v>
      </c>
      <c r="I71" s="4" t="s">
        <v>421</v>
      </c>
      <c r="J71" s="4" t="s">
        <v>424</v>
      </c>
      <c r="K71" s="4" t="s">
        <v>432</v>
      </c>
      <c r="L71" s="4">
        <f t="shared" si="1"/>
        <v>72.55</v>
      </c>
      <c r="M71" s="4">
        <v>72.55</v>
      </c>
    </row>
    <row r="72" spans="1:13" x14ac:dyDescent="0.3">
      <c r="A72" s="4" t="s">
        <v>78</v>
      </c>
      <c r="B72" s="4" t="s">
        <v>196</v>
      </c>
      <c r="C72" s="4" t="s">
        <v>199</v>
      </c>
      <c r="D72" s="4" t="s">
        <v>207</v>
      </c>
      <c r="E72" s="4">
        <v>8</v>
      </c>
      <c r="F72" s="4" t="s">
        <v>212</v>
      </c>
      <c r="G72" s="4" t="s">
        <v>285</v>
      </c>
      <c r="H72" s="4" t="s">
        <v>415</v>
      </c>
      <c r="I72" s="4" t="s">
        <v>420</v>
      </c>
      <c r="J72" s="4" t="s">
        <v>425</v>
      </c>
      <c r="K72" s="4" t="s">
        <v>427</v>
      </c>
      <c r="L72" s="4">
        <f t="shared" si="1"/>
        <v>1605.12</v>
      </c>
      <c r="M72" s="4">
        <v>200.64</v>
      </c>
    </row>
    <row r="73" spans="1:13" x14ac:dyDescent="0.3">
      <c r="A73" s="4" t="s">
        <v>79</v>
      </c>
      <c r="B73" s="4" t="s">
        <v>191</v>
      </c>
      <c r="C73" s="4" t="s">
        <v>199</v>
      </c>
      <c r="D73" s="4" t="s">
        <v>209</v>
      </c>
      <c r="E73" s="4">
        <v>5</v>
      </c>
      <c r="F73" s="4" t="s">
        <v>212</v>
      </c>
      <c r="G73" s="4" t="s">
        <v>286</v>
      </c>
      <c r="H73" s="4" t="s">
        <v>417</v>
      </c>
      <c r="I73" s="4" t="s">
        <v>419</v>
      </c>
      <c r="J73" s="4" t="s">
        <v>424</v>
      </c>
      <c r="K73" s="4" t="s">
        <v>432</v>
      </c>
      <c r="L73" s="4">
        <f t="shared" si="1"/>
        <v>1486.05</v>
      </c>
      <c r="M73" s="4">
        <v>297.20999999999998</v>
      </c>
    </row>
    <row r="74" spans="1:13" x14ac:dyDescent="0.3">
      <c r="A74" s="4" t="s">
        <v>80</v>
      </c>
      <c r="B74" s="4" t="s">
        <v>194</v>
      </c>
      <c r="C74" s="4" t="s">
        <v>202</v>
      </c>
      <c r="D74" s="4" t="s">
        <v>208</v>
      </c>
      <c r="E74" s="4">
        <v>2</v>
      </c>
      <c r="F74" s="4" t="s">
        <v>213</v>
      </c>
      <c r="G74" s="4" t="s">
        <v>287</v>
      </c>
      <c r="H74" s="4" t="s">
        <v>418</v>
      </c>
      <c r="I74" s="4" t="s">
        <v>421</v>
      </c>
      <c r="J74" s="4" t="s">
        <v>423</v>
      </c>
      <c r="K74" s="4" t="s">
        <v>429</v>
      </c>
      <c r="L74" s="4">
        <f t="shared" si="1"/>
        <v>342.6</v>
      </c>
      <c r="M74" s="4">
        <v>171.3</v>
      </c>
    </row>
    <row r="75" spans="1:13" x14ac:dyDescent="0.3">
      <c r="A75" s="4" t="s">
        <v>81</v>
      </c>
      <c r="B75" s="4" t="s">
        <v>196</v>
      </c>
      <c r="C75" s="4" t="s">
        <v>202</v>
      </c>
      <c r="D75" s="4" t="s">
        <v>209</v>
      </c>
      <c r="E75" s="4">
        <v>9</v>
      </c>
      <c r="F75" s="4" t="s">
        <v>214</v>
      </c>
      <c r="G75" s="4" t="s">
        <v>288</v>
      </c>
      <c r="H75" s="4" t="s">
        <v>415</v>
      </c>
      <c r="I75" s="4" t="s">
        <v>422</v>
      </c>
      <c r="J75" s="4" t="s">
        <v>423</v>
      </c>
      <c r="K75" s="4" t="s">
        <v>430</v>
      </c>
      <c r="L75" s="4">
        <f t="shared" si="1"/>
        <v>1425.33</v>
      </c>
      <c r="M75" s="4">
        <v>158.37</v>
      </c>
    </row>
    <row r="76" spans="1:13" x14ac:dyDescent="0.3">
      <c r="A76" s="4" t="s">
        <v>82</v>
      </c>
      <c r="B76" s="4" t="s">
        <v>194</v>
      </c>
      <c r="C76" s="4" t="s">
        <v>202</v>
      </c>
      <c r="D76" s="4" t="s">
        <v>206</v>
      </c>
      <c r="E76" s="4">
        <v>6</v>
      </c>
      <c r="F76" s="4" t="s">
        <v>211</v>
      </c>
      <c r="G76" s="4" t="s">
        <v>289</v>
      </c>
      <c r="H76" s="4" t="s">
        <v>417</v>
      </c>
      <c r="I76" s="4" t="s">
        <v>419</v>
      </c>
      <c r="J76" s="4" t="s">
        <v>424</v>
      </c>
      <c r="K76" s="4" t="s">
        <v>426</v>
      </c>
      <c r="L76" s="4">
        <f t="shared" si="1"/>
        <v>588.18000000000006</v>
      </c>
      <c r="M76" s="4">
        <v>98.03</v>
      </c>
    </row>
    <row r="77" spans="1:13" x14ac:dyDescent="0.3">
      <c r="A77" s="4" t="s">
        <v>83</v>
      </c>
      <c r="B77" s="4" t="s">
        <v>193</v>
      </c>
      <c r="C77" s="4" t="s">
        <v>202</v>
      </c>
      <c r="D77" s="4" t="s">
        <v>203</v>
      </c>
      <c r="E77" s="4">
        <v>7</v>
      </c>
      <c r="F77" s="4" t="s">
        <v>214</v>
      </c>
      <c r="G77" s="4" t="s">
        <v>290</v>
      </c>
      <c r="H77" s="4" t="s">
        <v>418</v>
      </c>
      <c r="I77" s="4" t="s">
        <v>421</v>
      </c>
      <c r="J77" s="4" t="s">
        <v>424</v>
      </c>
      <c r="K77" s="4" t="s">
        <v>431</v>
      </c>
      <c r="L77" s="4">
        <f t="shared" si="1"/>
        <v>334.88</v>
      </c>
      <c r="M77" s="4">
        <v>47.84</v>
      </c>
    </row>
    <row r="78" spans="1:13" x14ac:dyDescent="0.3">
      <c r="A78" s="4" t="s">
        <v>84</v>
      </c>
      <c r="B78" s="4" t="s">
        <v>197</v>
      </c>
      <c r="C78" s="4" t="s">
        <v>202</v>
      </c>
      <c r="D78" s="4" t="s">
        <v>204</v>
      </c>
      <c r="E78" s="4">
        <v>7</v>
      </c>
      <c r="F78" s="4" t="s">
        <v>212</v>
      </c>
      <c r="G78" s="4" t="s">
        <v>291</v>
      </c>
      <c r="H78" s="4" t="s">
        <v>418</v>
      </c>
      <c r="I78" s="4" t="s">
        <v>421</v>
      </c>
      <c r="J78" s="4" t="s">
        <v>425</v>
      </c>
      <c r="K78" s="4" t="s">
        <v>427</v>
      </c>
      <c r="L78" s="4">
        <f t="shared" si="1"/>
        <v>2529.17</v>
      </c>
      <c r="M78" s="4">
        <v>361.31</v>
      </c>
    </row>
    <row r="79" spans="1:13" x14ac:dyDescent="0.3">
      <c r="A79" s="4" t="s">
        <v>85</v>
      </c>
      <c r="B79" s="4" t="s">
        <v>191</v>
      </c>
      <c r="C79" s="4" t="s">
        <v>202</v>
      </c>
      <c r="D79" s="4" t="s">
        <v>205</v>
      </c>
      <c r="E79" s="4">
        <v>4</v>
      </c>
      <c r="F79" s="4" t="s">
        <v>214</v>
      </c>
      <c r="G79" s="4" t="s">
        <v>292</v>
      </c>
      <c r="H79" s="4" t="s">
        <v>416</v>
      </c>
      <c r="I79" s="4" t="s">
        <v>420</v>
      </c>
      <c r="J79" s="4" t="s">
        <v>423</v>
      </c>
      <c r="K79" s="4" t="s">
        <v>432</v>
      </c>
      <c r="L79" s="4">
        <f t="shared" si="1"/>
        <v>1387.48</v>
      </c>
      <c r="M79" s="4">
        <v>346.87</v>
      </c>
    </row>
    <row r="80" spans="1:13" x14ac:dyDescent="0.3">
      <c r="A80" s="4" t="s">
        <v>86</v>
      </c>
      <c r="B80" s="4" t="s">
        <v>190</v>
      </c>
      <c r="C80" s="4" t="s">
        <v>199</v>
      </c>
      <c r="D80" s="4" t="s">
        <v>206</v>
      </c>
      <c r="E80" s="4">
        <v>3</v>
      </c>
      <c r="F80" s="4" t="s">
        <v>210</v>
      </c>
      <c r="G80" s="4" t="s">
        <v>293</v>
      </c>
      <c r="H80" s="4" t="s">
        <v>418</v>
      </c>
      <c r="I80" s="4" t="s">
        <v>419</v>
      </c>
      <c r="J80" s="4" t="s">
        <v>425</v>
      </c>
      <c r="K80" s="4" t="s">
        <v>432</v>
      </c>
      <c r="L80" s="4">
        <f t="shared" si="1"/>
        <v>420.93</v>
      </c>
      <c r="M80" s="4">
        <v>140.31</v>
      </c>
    </row>
    <row r="81" spans="1:13" x14ac:dyDescent="0.3">
      <c r="A81" s="4" t="s">
        <v>87</v>
      </c>
      <c r="B81" s="4" t="s">
        <v>191</v>
      </c>
      <c r="C81" s="4" t="s">
        <v>199</v>
      </c>
      <c r="D81" s="4" t="s">
        <v>208</v>
      </c>
      <c r="E81" s="4">
        <v>4</v>
      </c>
      <c r="F81" s="4" t="s">
        <v>214</v>
      </c>
      <c r="G81" s="4" t="s">
        <v>294</v>
      </c>
      <c r="H81" s="4" t="s">
        <v>414</v>
      </c>
      <c r="I81" s="4" t="s">
        <v>419</v>
      </c>
      <c r="J81" s="4" t="s">
        <v>424</v>
      </c>
      <c r="K81" s="4" t="s">
        <v>432</v>
      </c>
      <c r="L81" s="4">
        <f t="shared" si="1"/>
        <v>836.2</v>
      </c>
      <c r="M81" s="4">
        <v>209.05</v>
      </c>
    </row>
    <row r="82" spans="1:13" x14ac:dyDescent="0.3">
      <c r="A82" s="4" t="s">
        <v>88</v>
      </c>
      <c r="B82" s="4" t="s">
        <v>195</v>
      </c>
      <c r="C82" s="4" t="s">
        <v>199</v>
      </c>
      <c r="D82" s="4" t="s">
        <v>209</v>
      </c>
      <c r="E82" s="4">
        <v>9</v>
      </c>
      <c r="F82" s="4" t="s">
        <v>213</v>
      </c>
      <c r="G82" s="4" t="s">
        <v>295</v>
      </c>
      <c r="H82" s="4" t="s">
        <v>415</v>
      </c>
      <c r="I82" s="4" t="s">
        <v>420</v>
      </c>
      <c r="J82" s="4" t="s">
        <v>424</v>
      </c>
      <c r="K82" s="4" t="s">
        <v>426</v>
      </c>
      <c r="L82" s="4">
        <f t="shared" si="1"/>
        <v>1557.81</v>
      </c>
      <c r="M82" s="4">
        <v>173.09</v>
      </c>
    </row>
    <row r="83" spans="1:13" x14ac:dyDescent="0.3">
      <c r="A83" s="4" t="s">
        <v>89</v>
      </c>
      <c r="B83" s="4" t="s">
        <v>192</v>
      </c>
      <c r="C83" s="4" t="s">
        <v>202</v>
      </c>
      <c r="D83" s="4" t="s">
        <v>206</v>
      </c>
      <c r="E83" s="4">
        <v>7</v>
      </c>
      <c r="F83" s="4" t="s">
        <v>213</v>
      </c>
      <c r="G83" s="4" t="s">
        <v>296</v>
      </c>
      <c r="H83" s="4" t="s">
        <v>417</v>
      </c>
      <c r="I83" s="4" t="s">
        <v>422</v>
      </c>
      <c r="J83" s="4" t="s">
        <v>424</v>
      </c>
      <c r="K83" s="4" t="s">
        <v>428</v>
      </c>
      <c r="L83" s="4">
        <f t="shared" si="1"/>
        <v>471.52</v>
      </c>
      <c r="M83" s="4">
        <v>67.36</v>
      </c>
    </row>
    <row r="84" spans="1:13" x14ac:dyDescent="0.3">
      <c r="A84" s="4" t="s">
        <v>90</v>
      </c>
      <c r="B84" s="4" t="s">
        <v>196</v>
      </c>
      <c r="C84" s="4" t="s">
        <v>199</v>
      </c>
      <c r="D84" s="4" t="s">
        <v>204</v>
      </c>
      <c r="E84" s="4">
        <v>5</v>
      </c>
      <c r="F84" s="4" t="s">
        <v>214</v>
      </c>
      <c r="G84" s="4" t="s">
        <v>297</v>
      </c>
      <c r="H84" s="4" t="s">
        <v>415</v>
      </c>
      <c r="I84" s="4" t="s">
        <v>421</v>
      </c>
      <c r="J84" s="4" t="s">
        <v>423</v>
      </c>
      <c r="K84" s="4" t="s">
        <v>429</v>
      </c>
      <c r="L84" s="4">
        <f t="shared" si="1"/>
        <v>1595.25</v>
      </c>
      <c r="M84" s="4">
        <v>319.05</v>
      </c>
    </row>
    <row r="85" spans="1:13" x14ac:dyDescent="0.3">
      <c r="A85" s="4" t="s">
        <v>32</v>
      </c>
      <c r="B85" s="4" t="s">
        <v>197</v>
      </c>
      <c r="C85" s="4" t="s">
        <v>199</v>
      </c>
      <c r="D85" s="4" t="s">
        <v>207</v>
      </c>
      <c r="E85" s="4">
        <v>6</v>
      </c>
      <c r="F85" s="4" t="s">
        <v>212</v>
      </c>
      <c r="G85" s="4" t="s">
        <v>298</v>
      </c>
      <c r="H85" s="4" t="s">
        <v>416</v>
      </c>
      <c r="I85" s="4" t="s">
        <v>420</v>
      </c>
      <c r="J85" s="4" t="s">
        <v>423</v>
      </c>
      <c r="K85" s="4" t="s">
        <v>427</v>
      </c>
      <c r="L85" s="4">
        <f t="shared" si="1"/>
        <v>43.92</v>
      </c>
      <c r="M85" s="4">
        <v>7.32</v>
      </c>
    </row>
    <row r="86" spans="1:13" x14ac:dyDescent="0.3">
      <c r="A86" s="4" t="s">
        <v>91</v>
      </c>
      <c r="B86" s="4" t="s">
        <v>198</v>
      </c>
      <c r="C86" s="4" t="s">
        <v>200</v>
      </c>
      <c r="D86" s="4" t="s">
        <v>208</v>
      </c>
      <c r="E86" s="4">
        <v>2</v>
      </c>
      <c r="F86" s="4" t="s">
        <v>210</v>
      </c>
      <c r="G86" s="4" t="s">
        <v>299</v>
      </c>
      <c r="H86" s="4" t="s">
        <v>418</v>
      </c>
      <c r="I86" s="4" t="s">
        <v>420</v>
      </c>
      <c r="J86" s="4" t="s">
        <v>425</v>
      </c>
      <c r="K86" s="4" t="s">
        <v>432</v>
      </c>
      <c r="L86" s="4">
        <f t="shared" si="1"/>
        <v>52.64</v>
      </c>
      <c r="M86" s="4">
        <v>26.32</v>
      </c>
    </row>
    <row r="87" spans="1:13" x14ac:dyDescent="0.3">
      <c r="A87" s="4" t="s">
        <v>92</v>
      </c>
      <c r="B87" s="4" t="s">
        <v>192</v>
      </c>
      <c r="C87" s="4" t="s">
        <v>201</v>
      </c>
      <c r="D87" s="4" t="s">
        <v>209</v>
      </c>
      <c r="E87" s="4">
        <v>1</v>
      </c>
      <c r="F87" s="4" t="s">
        <v>210</v>
      </c>
      <c r="G87" s="4" t="s">
        <v>300</v>
      </c>
      <c r="H87" s="4" t="s">
        <v>415</v>
      </c>
      <c r="I87" s="4" t="s">
        <v>419</v>
      </c>
      <c r="J87" s="4" t="s">
        <v>425</v>
      </c>
      <c r="K87" s="4" t="s">
        <v>426</v>
      </c>
      <c r="L87" s="4">
        <f t="shared" si="1"/>
        <v>61.14</v>
      </c>
      <c r="M87" s="4">
        <v>61.14</v>
      </c>
    </row>
    <row r="88" spans="1:13" x14ac:dyDescent="0.3">
      <c r="A88" s="4" t="s">
        <v>93</v>
      </c>
      <c r="B88" s="4" t="s">
        <v>198</v>
      </c>
      <c r="C88" s="4" t="s">
        <v>199</v>
      </c>
      <c r="D88" s="4" t="s">
        <v>205</v>
      </c>
      <c r="E88" s="4">
        <v>4</v>
      </c>
      <c r="F88" s="4" t="s">
        <v>211</v>
      </c>
      <c r="G88" s="4" t="s">
        <v>301</v>
      </c>
      <c r="H88" s="4" t="s">
        <v>416</v>
      </c>
      <c r="I88" s="4" t="s">
        <v>420</v>
      </c>
      <c r="J88" s="4" t="s">
        <v>425</v>
      </c>
      <c r="K88" s="4" t="s">
        <v>428</v>
      </c>
      <c r="L88" s="4">
        <f t="shared" si="1"/>
        <v>1401.32</v>
      </c>
      <c r="M88" s="4">
        <v>350.33</v>
      </c>
    </row>
    <row r="89" spans="1:13" x14ac:dyDescent="0.3">
      <c r="A89" s="4" t="s">
        <v>94</v>
      </c>
      <c r="B89" s="4" t="s">
        <v>197</v>
      </c>
      <c r="C89" s="4" t="s">
        <v>200</v>
      </c>
      <c r="D89" s="4" t="s">
        <v>206</v>
      </c>
      <c r="E89" s="4">
        <v>6</v>
      </c>
      <c r="F89" s="4" t="s">
        <v>214</v>
      </c>
      <c r="G89" s="4" t="s">
        <v>302</v>
      </c>
      <c r="H89" s="4" t="s">
        <v>414</v>
      </c>
      <c r="I89" s="4" t="s">
        <v>422</v>
      </c>
      <c r="J89" s="4" t="s">
        <v>424</v>
      </c>
      <c r="K89" s="4" t="s">
        <v>426</v>
      </c>
      <c r="L89" s="4">
        <f t="shared" si="1"/>
        <v>1216.3799999999999</v>
      </c>
      <c r="M89" s="4">
        <v>202.73</v>
      </c>
    </row>
    <row r="90" spans="1:13" x14ac:dyDescent="0.3">
      <c r="A90" s="4" t="s">
        <v>95</v>
      </c>
      <c r="B90" s="4" t="s">
        <v>192</v>
      </c>
      <c r="C90" s="4" t="s">
        <v>201</v>
      </c>
      <c r="D90" s="4" t="s">
        <v>203</v>
      </c>
      <c r="E90" s="4">
        <v>3</v>
      </c>
      <c r="F90" s="4" t="s">
        <v>214</v>
      </c>
      <c r="G90" s="4" t="s">
        <v>303</v>
      </c>
      <c r="H90" s="4" t="s">
        <v>418</v>
      </c>
      <c r="I90" s="4" t="s">
        <v>422</v>
      </c>
      <c r="J90" s="4" t="s">
        <v>425</v>
      </c>
      <c r="K90" s="4" t="s">
        <v>432</v>
      </c>
      <c r="L90" s="4">
        <f t="shared" si="1"/>
        <v>461.88</v>
      </c>
      <c r="M90" s="4">
        <v>153.96</v>
      </c>
    </row>
    <row r="91" spans="1:13" x14ac:dyDescent="0.3">
      <c r="A91" s="4" t="s">
        <v>96</v>
      </c>
      <c r="B91" s="4" t="s">
        <v>196</v>
      </c>
      <c r="C91" s="4" t="s">
        <v>199</v>
      </c>
      <c r="D91" s="4" t="s">
        <v>209</v>
      </c>
      <c r="E91" s="4">
        <v>6</v>
      </c>
      <c r="F91" s="4" t="s">
        <v>213</v>
      </c>
      <c r="G91" s="4" t="s">
        <v>304</v>
      </c>
      <c r="H91" s="4" t="s">
        <v>417</v>
      </c>
      <c r="I91" s="4" t="s">
        <v>421</v>
      </c>
      <c r="J91" s="4" t="s">
        <v>424</v>
      </c>
      <c r="K91" s="4" t="s">
        <v>427</v>
      </c>
      <c r="L91" s="4">
        <f t="shared" si="1"/>
        <v>1858.1999999999998</v>
      </c>
      <c r="M91" s="4">
        <v>309.7</v>
      </c>
    </row>
    <row r="92" spans="1:13" x14ac:dyDescent="0.3">
      <c r="A92" s="4" t="s">
        <v>97</v>
      </c>
      <c r="B92" s="4" t="s">
        <v>195</v>
      </c>
      <c r="C92" s="4" t="s">
        <v>202</v>
      </c>
      <c r="D92" s="4" t="s">
        <v>205</v>
      </c>
      <c r="E92" s="4">
        <v>7</v>
      </c>
      <c r="F92" s="4" t="s">
        <v>213</v>
      </c>
      <c r="G92" s="4" t="s">
        <v>305</v>
      </c>
      <c r="H92" s="4" t="s">
        <v>414</v>
      </c>
      <c r="I92" s="4" t="s">
        <v>419</v>
      </c>
      <c r="J92" s="4" t="s">
        <v>424</v>
      </c>
      <c r="K92" s="4" t="s">
        <v>428</v>
      </c>
      <c r="L92" s="4">
        <f t="shared" si="1"/>
        <v>752.43</v>
      </c>
      <c r="M92" s="4">
        <v>107.49</v>
      </c>
    </row>
    <row r="93" spans="1:13" x14ac:dyDescent="0.3">
      <c r="A93" s="4" t="s">
        <v>98</v>
      </c>
      <c r="B93" s="4" t="s">
        <v>198</v>
      </c>
      <c r="C93" s="4" t="s">
        <v>202</v>
      </c>
      <c r="D93" s="4" t="s">
        <v>207</v>
      </c>
      <c r="E93" s="4">
        <v>3</v>
      </c>
      <c r="F93" s="4" t="s">
        <v>214</v>
      </c>
      <c r="G93" s="4" t="s">
        <v>306</v>
      </c>
      <c r="H93" s="4" t="s">
        <v>416</v>
      </c>
      <c r="I93" s="4" t="s">
        <v>421</v>
      </c>
      <c r="J93" s="4" t="s">
        <v>423</v>
      </c>
      <c r="K93" s="4" t="s">
        <v>432</v>
      </c>
      <c r="L93" s="4">
        <f t="shared" si="1"/>
        <v>884.09999999999991</v>
      </c>
      <c r="M93" s="4">
        <v>294.7</v>
      </c>
    </row>
    <row r="94" spans="1:13" x14ac:dyDescent="0.3">
      <c r="A94" s="4" t="s">
        <v>99</v>
      </c>
      <c r="B94" s="4" t="s">
        <v>198</v>
      </c>
      <c r="C94" s="4" t="s">
        <v>199</v>
      </c>
      <c r="D94" s="4" t="s">
        <v>207</v>
      </c>
      <c r="E94" s="4">
        <v>7</v>
      </c>
      <c r="F94" s="4" t="s">
        <v>210</v>
      </c>
      <c r="G94" s="4" t="s">
        <v>307</v>
      </c>
      <c r="H94" s="4" t="s">
        <v>414</v>
      </c>
      <c r="I94" s="4" t="s">
        <v>421</v>
      </c>
      <c r="J94" s="4" t="s">
        <v>424</v>
      </c>
      <c r="K94" s="4" t="s">
        <v>432</v>
      </c>
      <c r="L94" s="4">
        <f t="shared" si="1"/>
        <v>2478.56</v>
      </c>
      <c r="M94" s="4">
        <v>354.08</v>
      </c>
    </row>
    <row r="95" spans="1:13" x14ac:dyDescent="0.3">
      <c r="A95" s="4" t="s">
        <v>45</v>
      </c>
      <c r="B95" s="4" t="s">
        <v>192</v>
      </c>
      <c r="C95" s="4" t="s">
        <v>199</v>
      </c>
      <c r="D95" s="4" t="s">
        <v>207</v>
      </c>
      <c r="E95" s="4">
        <v>3</v>
      </c>
      <c r="F95" s="4" t="s">
        <v>214</v>
      </c>
      <c r="G95" s="4" t="s">
        <v>308</v>
      </c>
      <c r="H95" s="4" t="s">
        <v>417</v>
      </c>
      <c r="I95" s="4" t="s">
        <v>419</v>
      </c>
      <c r="J95" s="4" t="s">
        <v>424</v>
      </c>
      <c r="K95" s="4" t="s">
        <v>431</v>
      </c>
      <c r="L95" s="4">
        <f t="shared" si="1"/>
        <v>801.66000000000008</v>
      </c>
      <c r="M95" s="4">
        <v>267.22000000000003</v>
      </c>
    </row>
    <row r="96" spans="1:13" x14ac:dyDescent="0.3">
      <c r="A96" s="4" t="s">
        <v>100</v>
      </c>
      <c r="B96" s="4" t="s">
        <v>194</v>
      </c>
      <c r="C96" s="4" t="s">
        <v>199</v>
      </c>
      <c r="D96" s="4" t="s">
        <v>204</v>
      </c>
      <c r="E96" s="4">
        <v>7</v>
      </c>
      <c r="F96" s="4" t="s">
        <v>210</v>
      </c>
      <c r="G96" s="4" t="s">
        <v>309</v>
      </c>
      <c r="H96" s="4" t="s">
        <v>415</v>
      </c>
      <c r="I96" s="4" t="s">
        <v>420</v>
      </c>
      <c r="J96" s="4" t="s">
        <v>424</v>
      </c>
      <c r="K96" s="4" t="s">
        <v>432</v>
      </c>
      <c r="L96" s="4">
        <f t="shared" si="1"/>
        <v>1335.88</v>
      </c>
      <c r="M96" s="4">
        <v>190.84</v>
      </c>
    </row>
    <row r="97" spans="1:13" x14ac:dyDescent="0.3">
      <c r="A97" s="4" t="s">
        <v>101</v>
      </c>
      <c r="B97" s="4" t="s">
        <v>195</v>
      </c>
      <c r="C97" s="4" t="s">
        <v>199</v>
      </c>
      <c r="D97" s="4" t="s">
        <v>205</v>
      </c>
      <c r="E97" s="4">
        <v>5</v>
      </c>
      <c r="F97" s="4" t="s">
        <v>211</v>
      </c>
      <c r="G97" s="4" t="s">
        <v>310</v>
      </c>
      <c r="H97" s="4" t="s">
        <v>414</v>
      </c>
      <c r="I97" s="4" t="s">
        <v>421</v>
      </c>
      <c r="J97" s="4" t="s">
        <v>423</v>
      </c>
      <c r="K97" s="4" t="s">
        <v>428</v>
      </c>
      <c r="L97" s="4">
        <f t="shared" si="1"/>
        <v>1194.4499999999998</v>
      </c>
      <c r="M97" s="4">
        <v>238.89</v>
      </c>
    </row>
    <row r="98" spans="1:13" x14ac:dyDescent="0.3">
      <c r="A98" s="4" t="s">
        <v>102</v>
      </c>
      <c r="B98" s="4" t="s">
        <v>196</v>
      </c>
      <c r="C98" s="4" t="s">
        <v>202</v>
      </c>
      <c r="D98" s="4" t="s">
        <v>203</v>
      </c>
      <c r="E98" s="4">
        <v>2</v>
      </c>
      <c r="F98" s="4" t="s">
        <v>213</v>
      </c>
      <c r="G98" s="4" t="s">
        <v>311</v>
      </c>
      <c r="H98" s="4" t="s">
        <v>417</v>
      </c>
      <c r="I98" s="4" t="s">
        <v>419</v>
      </c>
      <c r="J98" s="4" t="s">
        <v>424</v>
      </c>
      <c r="K98" s="4" t="s">
        <v>432</v>
      </c>
      <c r="L98" s="4">
        <f t="shared" si="1"/>
        <v>90.56</v>
      </c>
      <c r="M98" s="4">
        <v>45.28</v>
      </c>
    </row>
    <row r="99" spans="1:13" x14ac:dyDescent="0.3">
      <c r="A99" s="4" t="s">
        <v>103</v>
      </c>
      <c r="B99" s="4" t="s">
        <v>193</v>
      </c>
      <c r="C99" s="4" t="s">
        <v>202</v>
      </c>
      <c r="D99" s="4" t="s">
        <v>204</v>
      </c>
      <c r="E99" s="4">
        <v>6</v>
      </c>
      <c r="F99" s="4" t="s">
        <v>214</v>
      </c>
      <c r="G99" s="4" t="s">
        <v>312</v>
      </c>
      <c r="H99" s="4" t="s">
        <v>417</v>
      </c>
      <c r="I99" s="4" t="s">
        <v>420</v>
      </c>
      <c r="J99" s="4" t="s">
        <v>423</v>
      </c>
      <c r="K99" s="4" t="s">
        <v>428</v>
      </c>
      <c r="L99" s="4">
        <f t="shared" si="1"/>
        <v>835.92</v>
      </c>
      <c r="M99" s="4">
        <v>139.32</v>
      </c>
    </row>
    <row r="100" spans="1:13" x14ac:dyDescent="0.3">
      <c r="A100" s="4" t="s">
        <v>104</v>
      </c>
      <c r="B100" s="4" t="s">
        <v>195</v>
      </c>
      <c r="C100" s="4" t="s">
        <v>199</v>
      </c>
      <c r="D100" s="4" t="s">
        <v>207</v>
      </c>
      <c r="E100" s="4">
        <v>7</v>
      </c>
      <c r="F100" s="4" t="s">
        <v>210</v>
      </c>
      <c r="G100" s="4" t="s">
        <v>313</v>
      </c>
      <c r="H100" s="4" t="s">
        <v>415</v>
      </c>
      <c r="I100" s="4" t="s">
        <v>421</v>
      </c>
      <c r="J100" s="4" t="s">
        <v>425</v>
      </c>
      <c r="K100" s="4" t="s">
        <v>432</v>
      </c>
      <c r="L100" s="4">
        <f t="shared" si="1"/>
        <v>2515.0300000000002</v>
      </c>
      <c r="M100" s="4">
        <v>359.29</v>
      </c>
    </row>
    <row r="101" spans="1:13" x14ac:dyDescent="0.3">
      <c r="A101" s="4" t="s">
        <v>105</v>
      </c>
      <c r="B101" s="4" t="s">
        <v>193</v>
      </c>
      <c r="C101" s="4" t="s">
        <v>200</v>
      </c>
      <c r="D101" s="4" t="s">
        <v>206</v>
      </c>
      <c r="E101" s="4">
        <v>1</v>
      </c>
      <c r="F101" s="4" t="s">
        <v>211</v>
      </c>
      <c r="G101" s="4" t="s">
        <v>314</v>
      </c>
      <c r="H101" s="4" t="s">
        <v>414</v>
      </c>
      <c r="I101" s="4" t="s">
        <v>422</v>
      </c>
      <c r="J101" s="4" t="s">
        <v>423</v>
      </c>
      <c r="K101" s="4" t="s">
        <v>428</v>
      </c>
      <c r="L101" s="4">
        <f t="shared" si="1"/>
        <v>160.26</v>
      </c>
      <c r="M101" s="4">
        <v>160.26</v>
      </c>
    </row>
    <row r="102" spans="1:13" x14ac:dyDescent="0.3">
      <c r="A102" s="4" t="s">
        <v>106</v>
      </c>
      <c r="B102" s="4" t="s">
        <v>191</v>
      </c>
      <c r="C102" s="4" t="s">
        <v>199</v>
      </c>
      <c r="D102" s="4" t="s">
        <v>207</v>
      </c>
      <c r="E102" s="4">
        <v>9</v>
      </c>
      <c r="F102" s="4" t="s">
        <v>214</v>
      </c>
      <c r="G102" s="4" t="s">
        <v>315</v>
      </c>
      <c r="H102" s="4" t="s">
        <v>415</v>
      </c>
      <c r="I102" s="4" t="s">
        <v>420</v>
      </c>
      <c r="J102" s="4" t="s">
        <v>423</v>
      </c>
      <c r="K102" s="4" t="s">
        <v>431</v>
      </c>
      <c r="L102" s="4">
        <f t="shared" si="1"/>
        <v>1763.19</v>
      </c>
      <c r="M102" s="4">
        <v>195.91</v>
      </c>
    </row>
    <row r="103" spans="1:13" x14ac:dyDescent="0.3">
      <c r="A103" s="4" t="s">
        <v>107</v>
      </c>
      <c r="B103" s="4" t="s">
        <v>193</v>
      </c>
      <c r="C103" s="4" t="s">
        <v>201</v>
      </c>
      <c r="D103" s="4" t="s">
        <v>209</v>
      </c>
      <c r="E103" s="4">
        <v>2</v>
      </c>
      <c r="F103" s="4" t="s">
        <v>212</v>
      </c>
      <c r="G103" s="4" t="s">
        <v>316</v>
      </c>
      <c r="H103" s="4" t="s">
        <v>417</v>
      </c>
      <c r="I103" s="4" t="s">
        <v>420</v>
      </c>
      <c r="J103" s="4" t="s">
        <v>425</v>
      </c>
      <c r="K103" s="4" t="s">
        <v>427</v>
      </c>
      <c r="L103" s="4">
        <f t="shared" si="1"/>
        <v>546.79999999999995</v>
      </c>
      <c r="M103" s="4">
        <v>273.39999999999998</v>
      </c>
    </row>
    <row r="104" spans="1:13" x14ac:dyDescent="0.3">
      <c r="A104" s="4" t="s">
        <v>52</v>
      </c>
      <c r="B104" s="4" t="s">
        <v>189</v>
      </c>
      <c r="C104" s="4" t="s">
        <v>201</v>
      </c>
      <c r="D104" s="4" t="s">
        <v>205</v>
      </c>
      <c r="E104" s="4">
        <v>5</v>
      </c>
      <c r="F104" s="4" t="s">
        <v>212</v>
      </c>
      <c r="G104" s="4" t="s">
        <v>317</v>
      </c>
      <c r="H104" s="4" t="s">
        <v>418</v>
      </c>
      <c r="I104" s="4" t="s">
        <v>420</v>
      </c>
      <c r="J104" s="4" t="s">
        <v>424</v>
      </c>
      <c r="K104" s="4" t="s">
        <v>429</v>
      </c>
      <c r="L104" s="4">
        <f t="shared" si="1"/>
        <v>392.8</v>
      </c>
      <c r="M104" s="4">
        <v>78.56</v>
      </c>
    </row>
    <row r="105" spans="1:13" x14ac:dyDescent="0.3">
      <c r="A105" s="4" t="s">
        <v>108</v>
      </c>
      <c r="B105" s="4" t="s">
        <v>190</v>
      </c>
      <c r="C105" s="4" t="s">
        <v>199</v>
      </c>
      <c r="D105" s="4" t="s">
        <v>208</v>
      </c>
      <c r="E105" s="4">
        <v>2</v>
      </c>
      <c r="F105" s="4" t="s">
        <v>211</v>
      </c>
      <c r="G105" s="4" t="s">
        <v>318</v>
      </c>
      <c r="H105" s="4" t="s">
        <v>415</v>
      </c>
      <c r="I105" s="4" t="s">
        <v>421</v>
      </c>
      <c r="J105" s="4" t="s">
        <v>425</v>
      </c>
      <c r="K105" s="4" t="s">
        <v>428</v>
      </c>
      <c r="L105" s="4">
        <f t="shared" si="1"/>
        <v>165.68</v>
      </c>
      <c r="M105" s="4">
        <v>82.84</v>
      </c>
    </row>
    <row r="106" spans="1:13" x14ac:dyDescent="0.3">
      <c r="A106" s="4" t="s">
        <v>109</v>
      </c>
      <c r="B106" s="4" t="s">
        <v>197</v>
      </c>
      <c r="C106" s="4" t="s">
        <v>200</v>
      </c>
      <c r="D106" s="4" t="s">
        <v>209</v>
      </c>
      <c r="E106" s="4">
        <v>10</v>
      </c>
      <c r="F106" s="4" t="s">
        <v>214</v>
      </c>
      <c r="G106" s="4" t="s">
        <v>319</v>
      </c>
      <c r="H106" s="4" t="s">
        <v>418</v>
      </c>
      <c r="I106" s="4" t="s">
        <v>419</v>
      </c>
      <c r="J106" s="4" t="s">
        <v>423</v>
      </c>
      <c r="K106" s="4" t="s">
        <v>432</v>
      </c>
      <c r="L106" s="4">
        <f t="shared" si="1"/>
        <v>2119.1</v>
      </c>
      <c r="M106" s="4">
        <v>211.91</v>
      </c>
    </row>
    <row r="107" spans="1:13" x14ac:dyDescent="0.3">
      <c r="A107" s="4" t="s">
        <v>110</v>
      </c>
      <c r="B107" s="4" t="s">
        <v>195</v>
      </c>
      <c r="C107" s="4" t="s">
        <v>199</v>
      </c>
      <c r="D107" s="4" t="s">
        <v>209</v>
      </c>
      <c r="E107" s="4">
        <v>2</v>
      </c>
      <c r="F107" s="4" t="s">
        <v>210</v>
      </c>
      <c r="G107" s="4" t="s">
        <v>320</v>
      </c>
      <c r="H107" s="4" t="s">
        <v>415</v>
      </c>
      <c r="I107" s="4" t="s">
        <v>419</v>
      </c>
      <c r="J107" s="4" t="s">
        <v>425</v>
      </c>
      <c r="K107" s="4" t="s">
        <v>427</v>
      </c>
      <c r="L107" s="4">
        <f t="shared" si="1"/>
        <v>655.38</v>
      </c>
      <c r="M107" s="4">
        <v>327.69</v>
      </c>
    </row>
    <row r="108" spans="1:13" x14ac:dyDescent="0.3">
      <c r="A108" s="4" t="s">
        <v>111</v>
      </c>
      <c r="B108" s="4" t="s">
        <v>192</v>
      </c>
      <c r="C108" s="4" t="s">
        <v>202</v>
      </c>
      <c r="D108" s="4" t="s">
        <v>207</v>
      </c>
      <c r="E108" s="4">
        <v>4</v>
      </c>
      <c r="F108" s="4" t="s">
        <v>212</v>
      </c>
      <c r="G108" s="4" t="s">
        <v>321</v>
      </c>
      <c r="H108" s="4" t="s">
        <v>417</v>
      </c>
      <c r="I108" s="4" t="s">
        <v>419</v>
      </c>
      <c r="J108" s="4" t="s">
        <v>425</v>
      </c>
      <c r="K108" s="4" t="s">
        <v>429</v>
      </c>
      <c r="L108" s="4">
        <f t="shared" si="1"/>
        <v>1341.64</v>
      </c>
      <c r="M108" s="4">
        <v>335.41</v>
      </c>
    </row>
    <row r="109" spans="1:13" x14ac:dyDescent="0.3">
      <c r="A109" s="4" t="s">
        <v>112</v>
      </c>
      <c r="B109" s="4" t="s">
        <v>191</v>
      </c>
      <c r="C109" s="4" t="s">
        <v>201</v>
      </c>
      <c r="D109" s="4" t="s">
        <v>204</v>
      </c>
      <c r="E109" s="4">
        <v>9</v>
      </c>
      <c r="F109" s="4" t="s">
        <v>213</v>
      </c>
      <c r="G109" s="4" t="s">
        <v>322</v>
      </c>
      <c r="H109" s="4" t="s">
        <v>416</v>
      </c>
      <c r="I109" s="4" t="s">
        <v>422</v>
      </c>
      <c r="J109" s="4" t="s">
        <v>424</v>
      </c>
      <c r="K109" s="4" t="s">
        <v>426</v>
      </c>
      <c r="L109" s="4">
        <f t="shared" si="1"/>
        <v>1185.8399999999999</v>
      </c>
      <c r="M109" s="4">
        <v>131.76</v>
      </c>
    </row>
    <row r="110" spans="1:13" x14ac:dyDescent="0.3">
      <c r="A110" s="4" t="s">
        <v>113</v>
      </c>
      <c r="B110" s="4" t="s">
        <v>198</v>
      </c>
      <c r="C110" s="4" t="s">
        <v>199</v>
      </c>
      <c r="D110" s="4" t="s">
        <v>207</v>
      </c>
      <c r="E110" s="4">
        <v>1</v>
      </c>
      <c r="F110" s="4" t="s">
        <v>210</v>
      </c>
      <c r="G110" s="4" t="s">
        <v>323</v>
      </c>
      <c r="H110" s="4" t="s">
        <v>416</v>
      </c>
      <c r="I110" s="4" t="s">
        <v>421</v>
      </c>
      <c r="J110" s="4" t="s">
        <v>424</v>
      </c>
      <c r="K110" s="4" t="s">
        <v>431</v>
      </c>
      <c r="L110" s="4">
        <f t="shared" si="1"/>
        <v>215.47</v>
      </c>
      <c r="M110" s="4">
        <v>215.47</v>
      </c>
    </row>
    <row r="111" spans="1:13" x14ac:dyDescent="0.3">
      <c r="A111" s="4" t="s">
        <v>114</v>
      </c>
      <c r="B111" s="4" t="s">
        <v>198</v>
      </c>
      <c r="C111" s="4" t="s">
        <v>199</v>
      </c>
      <c r="D111" s="4" t="s">
        <v>204</v>
      </c>
      <c r="E111" s="4">
        <v>6</v>
      </c>
      <c r="F111" s="4" t="s">
        <v>213</v>
      </c>
      <c r="G111" s="4" t="s">
        <v>324</v>
      </c>
      <c r="H111" s="4" t="s">
        <v>418</v>
      </c>
      <c r="I111" s="4" t="s">
        <v>422</v>
      </c>
      <c r="J111" s="4" t="s">
        <v>423</v>
      </c>
      <c r="K111" s="4" t="s">
        <v>426</v>
      </c>
      <c r="L111" s="4">
        <f t="shared" si="1"/>
        <v>1167.96</v>
      </c>
      <c r="M111" s="4">
        <v>194.66</v>
      </c>
    </row>
    <row r="112" spans="1:13" x14ac:dyDescent="0.3">
      <c r="A112" s="4" t="s">
        <v>115</v>
      </c>
      <c r="B112" s="4" t="s">
        <v>195</v>
      </c>
      <c r="C112" s="4" t="s">
        <v>202</v>
      </c>
      <c r="D112" s="4" t="s">
        <v>205</v>
      </c>
      <c r="E112" s="4">
        <v>1</v>
      </c>
      <c r="F112" s="4" t="s">
        <v>211</v>
      </c>
      <c r="G112" s="4" t="s">
        <v>325</v>
      </c>
      <c r="H112" s="4" t="s">
        <v>418</v>
      </c>
      <c r="I112" s="4" t="s">
        <v>422</v>
      </c>
      <c r="J112" s="4" t="s">
        <v>425</v>
      </c>
      <c r="K112" s="4" t="s">
        <v>428</v>
      </c>
      <c r="L112" s="4">
        <f t="shared" si="1"/>
        <v>308.26</v>
      </c>
      <c r="M112" s="4">
        <v>308.26</v>
      </c>
    </row>
    <row r="113" spans="1:13" x14ac:dyDescent="0.3">
      <c r="A113" s="4" t="s">
        <v>116</v>
      </c>
      <c r="B113" s="4" t="s">
        <v>195</v>
      </c>
      <c r="C113" s="4" t="s">
        <v>200</v>
      </c>
      <c r="D113" s="4" t="s">
        <v>209</v>
      </c>
      <c r="E113" s="4">
        <v>8</v>
      </c>
      <c r="F113" s="4" t="s">
        <v>212</v>
      </c>
      <c r="G113" s="4" t="s">
        <v>326</v>
      </c>
      <c r="H113" s="4" t="s">
        <v>415</v>
      </c>
      <c r="I113" s="4" t="s">
        <v>420</v>
      </c>
      <c r="J113" s="4" t="s">
        <v>423</v>
      </c>
      <c r="K113" s="4" t="s">
        <v>430</v>
      </c>
      <c r="L113" s="4">
        <f t="shared" si="1"/>
        <v>833.04</v>
      </c>
      <c r="M113" s="4">
        <v>104.13</v>
      </c>
    </row>
    <row r="114" spans="1:13" x14ac:dyDescent="0.3">
      <c r="A114" s="4" t="s">
        <v>117</v>
      </c>
      <c r="B114" s="4" t="s">
        <v>191</v>
      </c>
      <c r="C114" s="4" t="s">
        <v>199</v>
      </c>
      <c r="D114" s="4" t="s">
        <v>209</v>
      </c>
      <c r="E114" s="4">
        <v>7</v>
      </c>
      <c r="F114" s="4" t="s">
        <v>212</v>
      </c>
      <c r="G114" s="4" t="s">
        <v>327</v>
      </c>
      <c r="H114" s="4" t="s">
        <v>418</v>
      </c>
      <c r="I114" s="4" t="s">
        <v>421</v>
      </c>
      <c r="J114" s="4" t="s">
        <v>425</v>
      </c>
      <c r="K114" s="4" t="s">
        <v>428</v>
      </c>
      <c r="L114" s="4">
        <f t="shared" si="1"/>
        <v>2791.81</v>
      </c>
      <c r="M114" s="4">
        <v>398.83</v>
      </c>
    </row>
    <row r="115" spans="1:13" x14ac:dyDescent="0.3">
      <c r="A115" s="4" t="s">
        <v>118</v>
      </c>
      <c r="B115" s="4" t="s">
        <v>191</v>
      </c>
      <c r="C115" s="4" t="s">
        <v>200</v>
      </c>
      <c r="D115" s="4" t="s">
        <v>209</v>
      </c>
      <c r="E115" s="4">
        <v>7</v>
      </c>
      <c r="F115" s="4" t="s">
        <v>210</v>
      </c>
      <c r="G115" s="4" t="s">
        <v>328</v>
      </c>
      <c r="H115" s="4" t="s">
        <v>414</v>
      </c>
      <c r="I115" s="4" t="s">
        <v>422</v>
      </c>
      <c r="J115" s="4" t="s">
        <v>424</v>
      </c>
      <c r="K115" s="4" t="s">
        <v>432</v>
      </c>
      <c r="L115" s="4">
        <f t="shared" si="1"/>
        <v>368.76</v>
      </c>
      <c r="M115" s="4">
        <v>52.68</v>
      </c>
    </row>
    <row r="116" spans="1:13" x14ac:dyDescent="0.3">
      <c r="A116" s="4" t="s">
        <v>119</v>
      </c>
      <c r="B116" s="4" t="s">
        <v>198</v>
      </c>
      <c r="C116" s="4" t="s">
        <v>200</v>
      </c>
      <c r="D116" s="4" t="s">
        <v>207</v>
      </c>
      <c r="E116" s="4">
        <v>8</v>
      </c>
      <c r="F116" s="4" t="s">
        <v>211</v>
      </c>
      <c r="G116" s="4" t="s">
        <v>329</v>
      </c>
      <c r="H116" s="4" t="s">
        <v>418</v>
      </c>
      <c r="I116" s="4" t="s">
        <v>422</v>
      </c>
      <c r="J116" s="4" t="s">
        <v>425</v>
      </c>
      <c r="K116" s="4" t="s">
        <v>431</v>
      </c>
      <c r="L116" s="4">
        <f t="shared" si="1"/>
        <v>659.84</v>
      </c>
      <c r="M116" s="4">
        <v>82.48</v>
      </c>
    </row>
    <row r="117" spans="1:13" x14ac:dyDescent="0.3">
      <c r="A117" s="4" t="s">
        <v>120</v>
      </c>
      <c r="B117" s="4" t="s">
        <v>193</v>
      </c>
      <c r="C117" s="4" t="s">
        <v>202</v>
      </c>
      <c r="D117" s="4" t="s">
        <v>209</v>
      </c>
      <c r="E117" s="4">
        <v>10</v>
      </c>
      <c r="F117" s="4" t="s">
        <v>211</v>
      </c>
      <c r="G117" s="4" t="s">
        <v>330</v>
      </c>
      <c r="H117" s="4" t="s">
        <v>417</v>
      </c>
      <c r="I117" s="4" t="s">
        <v>421</v>
      </c>
      <c r="J117" s="4" t="s">
        <v>424</v>
      </c>
      <c r="K117" s="4" t="s">
        <v>427</v>
      </c>
      <c r="L117" s="4">
        <f t="shared" si="1"/>
        <v>3466.2</v>
      </c>
      <c r="M117" s="4">
        <v>346.62</v>
      </c>
    </row>
    <row r="118" spans="1:13" x14ac:dyDescent="0.3">
      <c r="A118" s="4" t="s">
        <v>121</v>
      </c>
      <c r="B118" s="4" t="s">
        <v>190</v>
      </c>
      <c r="C118" s="4" t="s">
        <v>199</v>
      </c>
      <c r="D118" s="4" t="s">
        <v>203</v>
      </c>
      <c r="E118" s="4">
        <v>9</v>
      </c>
      <c r="F118" s="4" t="s">
        <v>214</v>
      </c>
      <c r="G118" s="4" t="s">
        <v>331</v>
      </c>
      <c r="H118" s="4" t="s">
        <v>417</v>
      </c>
      <c r="I118" s="4" t="s">
        <v>421</v>
      </c>
      <c r="J118" s="4" t="s">
        <v>424</v>
      </c>
      <c r="K118" s="4" t="s">
        <v>428</v>
      </c>
      <c r="L118" s="4">
        <f t="shared" si="1"/>
        <v>2720.07</v>
      </c>
      <c r="M118" s="4">
        <v>302.23</v>
      </c>
    </row>
    <row r="119" spans="1:13" x14ac:dyDescent="0.3">
      <c r="A119" s="4" t="s">
        <v>13</v>
      </c>
      <c r="B119" s="4" t="s">
        <v>191</v>
      </c>
      <c r="C119" s="4" t="s">
        <v>199</v>
      </c>
      <c r="D119" s="4" t="s">
        <v>206</v>
      </c>
      <c r="E119" s="4">
        <v>10</v>
      </c>
      <c r="F119" s="4" t="s">
        <v>213</v>
      </c>
      <c r="G119" s="4" t="s">
        <v>332</v>
      </c>
      <c r="H119" s="4" t="s">
        <v>416</v>
      </c>
      <c r="I119" s="4" t="s">
        <v>420</v>
      </c>
      <c r="J119" s="4" t="s">
        <v>424</v>
      </c>
      <c r="K119" s="4" t="s">
        <v>427</v>
      </c>
      <c r="L119" s="4">
        <f t="shared" si="1"/>
        <v>3557.4</v>
      </c>
      <c r="M119" s="4">
        <v>355.74</v>
      </c>
    </row>
    <row r="120" spans="1:13" x14ac:dyDescent="0.3">
      <c r="A120" s="4" t="s">
        <v>122</v>
      </c>
      <c r="B120" s="4" t="s">
        <v>192</v>
      </c>
      <c r="C120" s="4" t="s">
        <v>199</v>
      </c>
      <c r="D120" s="4" t="s">
        <v>203</v>
      </c>
      <c r="E120" s="4">
        <v>4</v>
      </c>
      <c r="F120" s="4" t="s">
        <v>214</v>
      </c>
      <c r="G120" s="4" t="s">
        <v>333</v>
      </c>
      <c r="H120" s="4" t="s">
        <v>416</v>
      </c>
      <c r="I120" s="4" t="s">
        <v>419</v>
      </c>
      <c r="J120" s="4" t="s">
        <v>423</v>
      </c>
      <c r="K120" s="4" t="s">
        <v>428</v>
      </c>
      <c r="L120" s="4">
        <f t="shared" si="1"/>
        <v>1316.28</v>
      </c>
      <c r="M120" s="4">
        <v>329.07</v>
      </c>
    </row>
    <row r="121" spans="1:13" x14ac:dyDescent="0.3">
      <c r="A121" s="4" t="s">
        <v>123</v>
      </c>
      <c r="B121" s="4" t="s">
        <v>195</v>
      </c>
      <c r="C121" s="4" t="s">
        <v>201</v>
      </c>
      <c r="D121" s="4" t="s">
        <v>204</v>
      </c>
      <c r="E121" s="4">
        <v>4</v>
      </c>
      <c r="F121" s="4" t="s">
        <v>214</v>
      </c>
      <c r="G121" s="4" t="s">
        <v>334</v>
      </c>
      <c r="H121" s="4" t="s">
        <v>418</v>
      </c>
      <c r="I121" s="4" t="s">
        <v>420</v>
      </c>
      <c r="J121" s="4" t="s">
        <v>425</v>
      </c>
      <c r="K121" s="4" t="s">
        <v>427</v>
      </c>
      <c r="L121" s="4">
        <f t="shared" si="1"/>
        <v>871.56</v>
      </c>
      <c r="M121" s="4">
        <v>217.89</v>
      </c>
    </row>
    <row r="122" spans="1:13" x14ac:dyDescent="0.3">
      <c r="A122" s="4" t="s">
        <v>124</v>
      </c>
      <c r="B122" s="4" t="s">
        <v>198</v>
      </c>
      <c r="C122" s="4" t="s">
        <v>201</v>
      </c>
      <c r="D122" s="4" t="s">
        <v>209</v>
      </c>
      <c r="E122" s="4">
        <v>10</v>
      </c>
      <c r="F122" s="4" t="s">
        <v>212</v>
      </c>
      <c r="G122" s="4" t="s">
        <v>335</v>
      </c>
      <c r="H122" s="4" t="s">
        <v>414</v>
      </c>
      <c r="I122" s="4" t="s">
        <v>419</v>
      </c>
      <c r="J122" s="4" t="s">
        <v>425</v>
      </c>
      <c r="K122" s="4" t="s">
        <v>431</v>
      </c>
      <c r="L122" s="4">
        <f t="shared" si="1"/>
        <v>356.8</v>
      </c>
      <c r="M122" s="4">
        <v>35.68</v>
      </c>
    </row>
    <row r="123" spans="1:13" x14ac:dyDescent="0.3">
      <c r="A123" s="4" t="s">
        <v>125</v>
      </c>
      <c r="B123" s="4" t="s">
        <v>196</v>
      </c>
      <c r="C123" s="4" t="s">
        <v>202</v>
      </c>
      <c r="D123" s="4" t="s">
        <v>204</v>
      </c>
      <c r="E123" s="4">
        <v>10</v>
      </c>
      <c r="F123" s="4" t="s">
        <v>214</v>
      </c>
      <c r="G123" s="4" t="s">
        <v>336</v>
      </c>
      <c r="H123" s="4" t="s">
        <v>417</v>
      </c>
      <c r="I123" s="4" t="s">
        <v>422</v>
      </c>
      <c r="J123" s="4" t="s">
        <v>424</v>
      </c>
      <c r="K123" s="4" t="s">
        <v>431</v>
      </c>
      <c r="L123" s="4">
        <f t="shared" si="1"/>
        <v>3636.3</v>
      </c>
      <c r="M123" s="4">
        <v>363.63</v>
      </c>
    </row>
    <row r="124" spans="1:13" x14ac:dyDescent="0.3">
      <c r="A124" s="4" t="s">
        <v>126</v>
      </c>
      <c r="B124" s="4" t="s">
        <v>191</v>
      </c>
      <c r="C124" s="4" t="s">
        <v>202</v>
      </c>
      <c r="D124" s="4" t="s">
        <v>208</v>
      </c>
      <c r="E124" s="4">
        <v>8</v>
      </c>
      <c r="F124" s="4" t="s">
        <v>210</v>
      </c>
      <c r="G124" s="4" t="s">
        <v>337</v>
      </c>
      <c r="H124" s="4" t="s">
        <v>416</v>
      </c>
      <c r="I124" s="4" t="s">
        <v>422</v>
      </c>
      <c r="J124" s="4" t="s">
        <v>424</v>
      </c>
      <c r="K124" s="4" t="s">
        <v>429</v>
      </c>
      <c r="L124" s="4">
        <f t="shared" si="1"/>
        <v>1263.52</v>
      </c>
      <c r="M124" s="4">
        <v>157.94</v>
      </c>
    </row>
    <row r="125" spans="1:13" x14ac:dyDescent="0.3">
      <c r="A125" s="4" t="s">
        <v>127</v>
      </c>
      <c r="B125" s="4" t="s">
        <v>195</v>
      </c>
      <c r="C125" s="4" t="s">
        <v>201</v>
      </c>
      <c r="D125" s="4" t="s">
        <v>207</v>
      </c>
      <c r="E125" s="4">
        <v>10</v>
      </c>
      <c r="F125" s="4" t="s">
        <v>214</v>
      </c>
      <c r="G125" s="4" t="s">
        <v>338</v>
      </c>
      <c r="H125" s="4" t="s">
        <v>416</v>
      </c>
      <c r="I125" s="4" t="s">
        <v>421</v>
      </c>
      <c r="J125" s="4" t="s">
        <v>423</v>
      </c>
      <c r="K125" s="4" t="s">
        <v>432</v>
      </c>
      <c r="L125" s="4">
        <f t="shared" si="1"/>
        <v>3140.1</v>
      </c>
      <c r="M125" s="4">
        <v>314.01</v>
      </c>
    </row>
    <row r="126" spans="1:13" x14ac:dyDescent="0.3">
      <c r="A126" s="4" t="s">
        <v>128</v>
      </c>
      <c r="B126" s="4" t="s">
        <v>195</v>
      </c>
      <c r="C126" s="4" t="s">
        <v>202</v>
      </c>
      <c r="D126" s="4" t="s">
        <v>209</v>
      </c>
      <c r="E126" s="4">
        <v>4</v>
      </c>
      <c r="F126" s="4" t="s">
        <v>210</v>
      </c>
      <c r="G126" s="4" t="s">
        <v>339</v>
      </c>
      <c r="H126" s="4" t="s">
        <v>415</v>
      </c>
      <c r="I126" s="4" t="s">
        <v>420</v>
      </c>
      <c r="J126" s="4" t="s">
        <v>424</v>
      </c>
      <c r="K126" s="4" t="s">
        <v>427</v>
      </c>
      <c r="L126" s="4">
        <f t="shared" si="1"/>
        <v>797.6</v>
      </c>
      <c r="M126" s="4">
        <v>199.4</v>
      </c>
    </row>
    <row r="127" spans="1:13" x14ac:dyDescent="0.3">
      <c r="A127" s="4" t="s">
        <v>129</v>
      </c>
      <c r="B127" s="4" t="s">
        <v>196</v>
      </c>
      <c r="C127" s="4" t="s">
        <v>201</v>
      </c>
      <c r="D127" s="4" t="s">
        <v>207</v>
      </c>
      <c r="E127" s="4">
        <v>10</v>
      </c>
      <c r="F127" s="4" t="s">
        <v>211</v>
      </c>
      <c r="G127" s="4" t="s">
        <v>340</v>
      </c>
      <c r="H127" s="4" t="s">
        <v>416</v>
      </c>
      <c r="I127" s="4" t="s">
        <v>419</v>
      </c>
      <c r="J127" s="4" t="s">
        <v>423</v>
      </c>
      <c r="K127" s="4" t="s">
        <v>428</v>
      </c>
      <c r="L127" s="4">
        <f t="shared" si="1"/>
        <v>2545.2000000000003</v>
      </c>
      <c r="M127" s="4">
        <v>254.52</v>
      </c>
    </row>
    <row r="128" spans="1:13" x14ac:dyDescent="0.3">
      <c r="A128" s="4" t="s">
        <v>130</v>
      </c>
      <c r="B128" s="4" t="s">
        <v>190</v>
      </c>
      <c r="C128" s="4" t="s">
        <v>201</v>
      </c>
      <c r="D128" s="4" t="s">
        <v>206</v>
      </c>
      <c r="E128" s="4">
        <v>5</v>
      </c>
      <c r="F128" s="4" t="s">
        <v>211</v>
      </c>
      <c r="G128" s="4" t="s">
        <v>341</v>
      </c>
      <c r="H128" s="4" t="s">
        <v>414</v>
      </c>
      <c r="I128" s="4" t="s">
        <v>421</v>
      </c>
      <c r="J128" s="4" t="s">
        <v>424</v>
      </c>
      <c r="K128" s="4" t="s">
        <v>431</v>
      </c>
      <c r="L128" s="4">
        <f t="shared" si="1"/>
        <v>1885.3</v>
      </c>
      <c r="M128" s="4">
        <v>377.06</v>
      </c>
    </row>
    <row r="129" spans="1:13" x14ac:dyDescent="0.3">
      <c r="A129" s="4" t="s">
        <v>131</v>
      </c>
      <c r="B129" s="4" t="s">
        <v>197</v>
      </c>
      <c r="C129" s="4" t="s">
        <v>199</v>
      </c>
      <c r="D129" s="4" t="s">
        <v>203</v>
      </c>
      <c r="E129" s="4">
        <v>3</v>
      </c>
      <c r="F129" s="4" t="s">
        <v>212</v>
      </c>
      <c r="G129" s="4" t="s">
        <v>342</v>
      </c>
      <c r="H129" s="4" t="s">
        <v>414</v>
      </c>
      <c r="I129" s="4" t="s">
        <v>422</v>
      </c>
      <c r="J129" s="4" t="s">
        <v>423</v>
      </c>
      <c r="K129" s="4" t="s">
        <v>426</v>
      </c>
      <c r="L129" s="4">
        <f t="shared" si="1"/>
        <v>120.72</v>
      </c>
      <c r="M129" s="4">
        <v>40.24</v>
      </c>
    </row>
    <row r="130" spans="1:13" x14ac:dyDescent="0.3">
      <c r="A130" s="4" t="s">
        <v>132</v>
      </c>
      <c r="B130" s="4" t="s">
        <v>195</v>
      </c>
      <c r="C130" s="4" t="s">
        <v>202</v>
      </c>
      <c r="D130" s="4" t="s">
        <v>204</v>
      </c>
      <c r="E130" s="4">
        <v>1</v>
      </c>
      <c r="F130" s="4" t="s">
        <v>214</v>
      </c>
      <c r="G130" s="4" t="s">
        <v>343</v>
      </c>
      <c r="H130" s="4" t="s">
        <v>417</v>
      </c>
      <c r="I130" s="4" t="s">
        <v>422</v>
      </c>
      <c r="J130" s="4" t="s">
        <v>423</v>
      </c>
      <c r="K130" s="4" t="s">
        <v>430</v>
      </c>
      <c r="L130" s="4">
        <f t="shared" si="1"/>
        <v>347.26</v>
      </c>
      <c r="M130" s="4">
        <v>347.26</v>
      </c>
    </row>
    <row r="131" spans="1:13" x14ac:dyDescent="0.3">
      <c r="A131" s="4" t="s">
        <v>17</v>
      </c>
      <c r="B131" s="4" t="s">
        <v>195</v>
      </c>
      <c r="C131" s="4" t="s">
        <v>199</v>
      </c>
      <c r="D131" s="4" t="s">
        <v>203</v>
      </c>
      <c r="E131" s="4">
        <v>2</v>
      </c>
      <c r="F131" s="4" t="s">
        <v>210</v>
      </c>
      <c r="G131" s="4" t="s">
        <v>344</v>
      </c>
      <c r="H131" s="4" t="s">
        <v>415</v>
      </c>
      <c r="I131" s="4" t="s">
        <v>422</v>
      </c>
      <c r="J131" s="4" t="s">
        <v>425</v>
      </c>
      <c r="K131" s="4" t="s">
        <v>426</v>
      </c>
      <c r="L131" s="4">
        <f t="shared" ref="L131:L194" si="2">PRODUCT(M131,E131)</f>
        <v>458.9</v>
      </c>
      <c r="M131" s="4">
        <v>229.45</v>
      </c>
    </row>
    <row r="132" spans="1:13" x14ac:dyDescent="0.3">
      <c r="A132" s="4" t="s">
        <v>133</v>
      </c>
      <c r="B132" s="4" t="s">
        <v>190</v>
      </c>
      <c r="C132" s="4" t="s">
        <v>199</v>
      </c>
      <c r="D132" s="4" t="s">
        <v>207</v>
      </c>
      <c r="E132" s="4">
        <v>1</v>
      </c>
      <c r="F132" s="4" t="s">
        <v>212</v>
      </c>
      <c r="G132" s="4" t="s">
        <v>345</v>
      </c>
      <c r="H132" s="4" t="s">
        <v>414</v>
      </c>
      <c r="I132" s="4" t="s">
        <v>422</v>
      </c>
      <c r="J132" s="4" t="s">
        <v>423</v>
      </c>
      <c r="K132" s="4" t="s">
        <v>432</v>
      </c>
      <c r="L132" s="4">
        <f t="shared" si="2"/>
        <v>31.5</v>
      </c>
      <c r="M132" s="4">
        <v>31.5</v>
      </c>
    </row>
    <row r="133" spans="1:13" x14ac:dyDescent="0.3">
      <c r="A133" s="4" t="s">
        <v>134</v>
      </c>
      <c r="B133" s="4" t="s">
        <v>191</v>
      </c>
      <c r="C133" s="4" t="s">
        <v>202</v>
      </c>
      <c r="D133" s="4" t="s">
        <v>209</v>
      </c>
      <c r="E133" s="4">
        <v>2</v>
      </c>
      <c r="F133" s="4" t="s">
        <v>214</v>
      </c>
      <c r="G133" s="4" t="s">
        <v>346</v>
      </c>
      <c r="H133" s="4" t="s">
        <v>415</v>
      </c>
      <c r="I133" s="4" t="s">
        <v>421</v>
      </c>
      <c r="J133" s="4" t="s">
        <v>423</v>
      </c>
      <c r="K133" s="4" t="s">
        <v>430</v>
      </c>
      <c r="L133" s="4">
        <f t="shared" si="2"/>
        <v>240</v>
      </c>
      <c r="M133" s="4">
        <v>120</v>
      </c>
    </row>
    <row r="134" spans="1:13" x14ac:dyDescent="0.3">
      <c r="A134" s="4" t="s">
        <v>135</v>
      </c>
      <c r="B134" s="4" t="s">
        <v>189</v>
      </c>
      <c r="C134" s="4" t="s">
        <v>200</v>
      </c>
      <c r="D134" s="4" t="s">
        <v>206</v>
      </c>
      <c r="E134" s="4">
        <v>7</v>
      </c>
      <c r="F134" s="4" t="s">
        <v>214</v>
      </c>
      <c r="G134" s="4" t="s">
        <v>347</v>
      </c>
      <c r="H134" s="4" t="s">
        <v>416</v>
      </c>
      <c r="I134" s="4" t="s">
        <v>422</v>
      </c>
      <c r="J134" s="4" t="s">
        <v>423</v>
      </c>
      <c r="K134" s="4" t="s">
        <v>432</v>
      </c>
      <c r="L134" s="4">
        <f t="shared" si="2"/>
        <v>886.82999999999993</v>
      </c>
      <c r="M134" s="4">
        <v>126.69</v>
      </c>
    </row>
    <row r="135" spans="1:13" x14ac:dyDescent="0.3">
      <c r="A135" s="4" t="s">
        <v>136</v>
      </c>
      <c r="B135" s="4" t="s">
        <v>190</v>
      </c>
      <c r="C135" s="4" t="s">
        <v>200</v>
      </c>
      <c r="D135" s="4" t="s">
        <v>204</v>
      </c>
      <c r="E135" s="4">
        <v>6</v>
      </c>
      <c r="F135" s="4" t="s">
        <v>213</v>
      </c>
      <c r="G135" s="4" t="s">
        <v>348</v>
      </c>
      <c r="H135" s="4" t="s">
        <v>417</v>
      </c>
      <c r="I135" s="4" t="s">
        <v>421</v>
      </c>
      <c r="J135" s="4" t="s">
        <v>423</v>
      </c>
      <c r="K135" s="4" t="s">
        <v>427</v>
      </c>
      <c r="L135" s="4">
        <f t="shared" si="2"/>
        <v>1328.58</v>
      </c>
      <c r="M135" s="4">
        <v>221.43</v>
      </c>
    </row>
    <row r="136" spans="1:13" x14ac:dyDescent="0.3">
      <c r="A136" s="4" t="s">
        <v>137</v>
      </c>
      <c r="B136" s="4" t="s">
        <v>195</v>
      </c>
      <c r="C136" s="4" t="s">
        <v>199</v>
      </c>
      <c r="D136" s="4" t="s">
        <v>206</v>
      </c>
      <c r="E136" s="4">
        <v>8</v>
      </c>
      <c r="F136" s="4" t="s">
        <v>213</v>
      </c>
      <c r="G136" s="4" t="s">
        <v>349</v>
      </c>
      <c r="H136" s="4" t="s">
        <v>415</v>
      </c>
      <c r="I136" s="4" t="s">
        <v>421</v>
      </c>
      <c r="J136" s="4" t="s">
        <v>424</v>
      </c>
      <c r="K136" s="4" t="s">
        <v>428</v>
      </c>
      <c r="L136" s="4">
        <f t="shared" si="2"/>
        <v>2860</v>
      </c>
      <c r="M136" s="4">
        <v>357.5</v>
      </c>
    </row>
    <row r="137" spans="1:13" x14ac:dyDescent="0.3">
      <c r="A137" s="4" t="s">
        <v>138</v>
      </c>
      <c r="B137" s="4" t="s">
        <v>190</v>
      </c>
      <c r="C137" s="4" t="s">
        <v>200</v>
      </c>
      <c r="D137" s="4" t="s">
        <v>206</v>
      </c>
      <c r="E137" s="4">
        <v>1</v>
      </c>
      <c r="F137" s="4" t="s">
        <v>212</v>
      </c>
      <c r="G137" s="4" t="s">
        <v>350</v>
      </c>
      <c r="H137" s="4" t="s">
        <v>417</v>
      </c>
      <c r="I137" s="4" t="s">
        <v>422</v>
      </c>
      <c r="J137" s="4" t="s">
        <v>423</v>
      </c>
      <c r="K137" s="4" t="s">
        <v>429</v>
      </c>
      <c r="L137" s="4">
        <f t="shared" si="2"/>
        <v>256.49</v>
      </c>
      <c r="M137" s="4">
        <v>256.49</v>
      </c>
    </row>
    <row r="138" spans="1:13" x14ac:dyDescent="0.3">
      <c r="A138" s="4" t="s">
        <v>139</v>
      </c>
      <c r="B138" s="4" t="s">
        <v>189</v>
      </c>
      <c r="C138" s="4" t="s">
        <v>201</v>
      </c>
      <c r="D138" s="4" t="s">
        <v>207</v>
      </c>
      <c r="E138" s="4">
        <v>2</v>
      </c>
      <c r="F138" s="4" t="s">
        <v>213</v>
      </c>
      <c r="G138" s="4" t="s">
        <v>351</v>
      </c>
      <c r="H138" s="4" t="s">
        <v>415</v>
      </c>
      <c r="I138" s="4" t="s">
        <v>420</v>
      </c>
      <c r="J138" s="4" t="s">
        <v>423</v>
      </c>
      <c r="K138" s="4" t="s">
        <v>428</v>
      </c>
      <c r="L138" s="4">
        <f t="shared" si="2"/>
        <v>607.29999999999995</v>
      </c>
      <c r="M138" s="4">
        <v>303.64999999999998</v>
      </c>
    </row>
    <row r="139" spans="1:13" x14ac:dyDescent="0.3">
      <c r="A139" s="4" t="s">
        <v>140</v>
      </c>
      <c r="B139" s="4" t="s">
        <v>193</v>
      </c>
      <c r="C139" s="4" t="s">
        <v>201</v>
      </c>
      <c r="D139" s="4" t="s">
        <v>205</v>
      </c>
      <c r="E139" s="4">
        <v>7</v>
      </c>
      <c r="F139" s="4" t="s">
        <v>211</v>
      </c>
      <c r="G139" s="4" t="s">
        <v>352</v>
      </c>
      <c r="H139" s="4" t="s">
        <v>414</v>
      </c>
      <c r="I139" s="4" t="s">
        <v>419</v>
      </c>
      <c r="J139" s="4" t="s">
        <v>423</v>
      </c>
      <c r="K139" s="4" t="s">
        <v>426</v>
      </c>
      <c r="L139" s="4">
        <f t="shared" si="2"/>
        <v>1784.23</v>
      </c>
      <c r="M139" s="4">
        <v>254.89</v>
      </c>
    </row>
    <row r="140" spans="1:13" x14ac:dyDescent="0.3">
      <c r="A140" s="4" t="s">
        <v>141</v>
      </c>
      <c r="B140" s="4" t="s">
        <v>194</v>
      </c>
      <c r="C140" s="4" t="s">
        <v>202</v>
      </c>
      <c r="D140" s="4" t="s">
        <v>208</v>
      </c>
      <c r="E140" s="4">
        <v>9</v>
      </c>
      <c r="F140" s="4" t="s">
        <v>210</v>
      </c>
      <c r="G140" s="4" t="s">
        <v>353</v>
      </c>
      <c r="H140" s="4" t="s">
        <v>416</v>
      </c>
      <c r="I140" s="4" t="s">
        <v>422</v>
      </c>
      <c r="J140" s="4" t="s">
        <v>423</v>
      </c>
      <c r="K140" s="4" t="s">
        <v>429</v>
      </c>
      <c r="L140" s="4">
        <f t="shared" si="2"/>
        <v>921.42</v>
      </c>
      <c r="M140" s="4">
        <v>102.38</v>
      </c>
    </row>
    <row r="141" spans="1:13" x14ac:dyDescent="0.3">
      <c r="A141" s="4" t="s">
        <v>142</v>
      </c>
      <c r="B141" s="4" t="s">
        <v>196</v>
      </c>
      <c r="C141" s="4" t="s">
        <v>199</v>
      </c>
      <c r="D141" s="4" t="s">
        <v>205</v>
      </c>
      <c r="E141" s="4">
        <v>10</v>
      </c>
      <c r="F141" s="4" t="s">
        <v>211</v>
      </c>
      <c r="G141" s="4" t="s">
        <v>354</v>
      </c>
      <c r="H141" s="4" t="s">
        <v>418</v>
      </c>
      <c r="I141" s="4" t="s">
        <v>419</v>
      </c>
      <c r="J141" s="4" t="s">
        <v>425</v>
      </c>
      <c r="K141" s="4" t="s">
        <v>426</v>
      </c>
      <c r="L141" s="4">
        <f t="shared" si="2"/>
        <v>3806.3</v>
      </c>
      <c r="M141" s="4">
        <v>380.63</v>
      </c>
    </row>
    <row r="142" spans="1:13" x14ac:dyDescent="0.3">
      <c r="A142" s="4" t="s">
        <v>143</v>
      </c>
      <c r="B142" s="4" t="s">
        <v>194</v>
      </c>
      <c r="C142" s="4" t="s">
        <v>200</v>
      </c>
      <c r="D142" s="4" t="s">
        <v>206</v>
      </c>
      <c r="E142" s="4">
        <v>5</v>
      </c>
      <c r="F142" s="4" t="s">
        <v>213</v>
      </c>
      <c r="G142" s="4" t="s">
        <v>355</v>
      </c>
      <c r="H142" s="4" t="s">
        <v>417</v>
      </c>
      <c r="I142" s="4" t="s">
        <v>422</v>
      </c>
      <c r="J142" s="4" t="s">
        <v>423</v>
      </c>
      <c r="K142" s="4" t="s">
        <v>430</v>
      </c>
      <c r="L142" s="4">
        <f t="shared" si="2"/>
        <v>1262.0999999999999</v>
      </c>
      <c r="M142" s="4">
        <v>252.42</v>
      </c>
    </row>
    <row r="143" spans="1:13" x14ac:dyDescent="0.3">
      <c r="A143" s="4" t="s">
        <v>144</v>
      </c>
      <c r="B143" s="4" t="s">
        <v>189</v>
      </c>
      <c r="C143" s="4" t="s">
        <v>199</v>
      </c>
      <c r="D143" s="4" t="s">
        <v>208</v>
      </c>
      <c r="E143" s="4">
        <v>3</v>
      </c>
      <c r="F143" s="4" t="s">
        <v>210</v>
      </c>
      <c r="G143" s="4" t="s">
        <v>356</v>
      </c>
      <c r="H143" s="4" t="s">
        <v>415</v>
      </c>
      <c r="I143" s="4" t="s">
        <v>420</v>
      </c>
      <c r="J143" s="4" t="s">
        <v>424</v>
      </c>
      <c r="K143" s="4" t="s">
        <v>430</v>
      </c>
      <c r="L143" s="4">
        <f t="shared" si="2"/>
        <v>621.99</v>
      </c>
      <c r="M143" s="4">
        <v>207.33</v>
      </c>
    </row>
    <row r="144" spans="1:13" x14ac:dyDescent="0.3">
      <c r="A144" s="4" t="s">
        <v>145</v>
      </c>
      <c r="B144" s="4" t="s">
        <v>189</v>
      </c>
      <c r="C144" s="4" t="s">
        <v>200</v>
      </c>
      <c r="D144" s="4" t="s">
        <v>209</v>
      </c>
      <c r="E144" s="4">
        <v>3</v>
      </c>
      <c r="F144" s="4" t="s">
        <v>211</v>
      </c>
      <c r="G144" s="4" t="s">
        <v>357</v>
      </c>
      <c r="H144" s="4" t="s">
        <v>416</v>
      </c>
      <c r="I144" s="4" t="s">
        <v>421</v>
      </c>
      <c r="J144" s="4" t="s">
        <v>423</v>
      </c>
      <c r="K144" s="4" t="s">
        <v>426</v>
      </c>
      <c r="L144" s="4">
        <f t="shared" si="2"/>
        <v>808.29</v>
      </c>
      <c r="M144" s="4">
        <v>269.43</v>
      </c>
    </row>
    <row r="145" spans="1:13" x14ac:dyDescent="0.3">
      <c r="A145" s="4" t="s">
        <v>90</v>
      </c>
      <c r="B145" s="4" t="s">
        <v>197</v>
      </c>
      <c r="C145" s="4" t="s">
        <v>201</v>
      </c>
      <c r="D145" s="4" t="s">
        <v>203</v>
      </c>
      <c r="E145" s="4">
        <v>1</v>
      </c>
      <c r="F145" s="4" t="s">
        <v>214</v>
      </c>
      <c r="G145" s="4" t="s">
        <v>358</v>
      </c>
      <c r="H145" s="4" t="s">
        <v>418</v>
      </c>
      <c r="I145" s="4" t="s">
        <v>422</v>
      </c>
      <c r="J145" s="4" t="s">
        <v>423</v>
      </c>
      <c r="K145" s="4" t="s">
        <v>429</v>
      </c>
      <c r="L145" s="4">
        <f t="shared" si="2"/>
        <v>366.47</v>
      </c>
      <c r="M145" s="4">
        <v>366.47</v>
      </c>
    </row>
    <row r="146" spans="1:13" x14ac:dyDescent="0.3">
      <c r="A146" s="4" t="s">
        <v>146</v>
      </c>
      <c r="B146" s="4" t="s">
        <v>196</v>
      </c>
      <c r="C146" s="4" t="s">
        <v>202</v>
      </c>
      <c r="D146" s="4" t="s">
        <v>208</v>
      </c>
      <c r="E146" s="4">
        <v>3</v>
      </c>
      <c r="F146" s="4" t="s">
        <v>211</v>
      </c>
      <c r="G146" s="4" t="s">
        <v>359</v>
      </c>
      <c r="H146" s="4" t="s">
        <v>414</v>
      </c>
      <c r="I146" s="4" t="s">
        <v>419</v>
      </c>
      <c r="J146" s="4" t="s">
        <v>425</v>
      </c>
      <c r="K146" s="4" t="s">
        <v>426</v>
      </c>
      <c r="L146" s="4">
        <f t="shared" si="2"/>
        <v>542.88</v>
      </c>
      <c r="M146" s="4">
        <v>180.96</v>
      </c>
    </row>
    <row r="147" spans="1:13" x14ac:dyDescent="0.3">
      <c r="A147" s="4" t="s">
        <v>147</v>
      </c>
      <c r="B147" s="4" t="s">
        <v>196</v>
      </c>
      <c r="C147" s="4" t="s">
        <v>201</v>
      </c>
      <c r="D147" s="4" t="s">
        <v>209</v>
      </c>
      <c r="E147" s="4">
        <v>4</v>
      </c>
      <c r="F147" s="4" t="s">
        <v>212</v>
      </c>
      <c r="G147" s="4" t="s">
        <v>360</v>
      </c>
      <c r="H147" s="4" t="s">
        <v>417</v>
      </c>
      <c r="I147" s="4" t="s">
        <v>419</v>
      </c>
      <c r="J147" s="4" t="s">
        <v>425</v>
      </c>
      <c r="K147" s="4" t="s">
        <v>426</v>
      </c>
      <c r="L147" s="4">
        <f t="shared" si="2"/>
        <v>269.56</v>
      </c>
      <c r="M147" s="4">
        <v>67.39</v>
      </c>
    </row>
    <row r="148" spans="1:13" x14ac:dyDescent="0.3">
      <c r="A148" s="4" t="s">
        <v>148</v>
      </c>
      <c r="B148" s="4" t="s">
        <v>190</v>
      </c>
      <c r="C148" s="4" t="s">
        <v>201</v>
      </c>
      <c r="D148" s="4" t="s">
        <v>207</v>
      </c>
      <c r="E148" s="4">
        <v>4</v>
      </c>
      <c r="F148" s="4" t="s">
        <v>214</v>
      </c>
      <c r="G148" s="4" t="s">
        <v>361</v>
      </c>
      <c r="H148" s="4" t="s">
        <v>417</v>
      </c>
      <c r="I148" s="4" t="s">
        <v>420</v>
      </c>
      <c r="J148" s="4" t="s">
        <v>423</v>
      </c>
      <c r="K148" s="4" t="s">
        <v>430</v>
      </c>
      <c r="L148" s="4">
        <f t="shared" si="2"/>
        <v>1251.52</v>
      </c>
      <c r="M148" s="4">
        <v>312.88</v>
      </c>
    </row>
    <row r="149" spans="1:13" x14ac:dyDescent="0.3">
      <c r="A149" s="4" t="s">
        <v>149</v>
      </c>
      <c r="B149" s="4" t="s">
        <v>194</v>
      </c>
      <c r="C149" s="4" t="s">
        <v>199</v>
      </c>
      <c r="D149" s="4" t="s">
        <v>204</v>
      </c>
      <c r="E149" s="4">
        <v>10</v>
      </c>
      <c r="F149" s="4" t="s">
        <v>210</v>
      </c>
      <c r="G149" s="4" t="s">
        <v>362</v>
      </c>
      <c r="H149" s="4" t="s">
        <v>417</v>
      </c>
      <c r="I149" s="4" t="s">
        <v>419</v>
      </c>
      <c r="J149" s="4" t="s">
        <v>424</v>
      </c>
      <c r="K149" s="4" t="s">
        <v>428</v>
      </c>
      <c r="L149" s="4">
        <f t="shared" si="2"/>
        <v>3125.1</v>
      </c>
      <c r="M149" s="4">
        <v>312.51</v>
      </c>
    </row>
    <row r="150" spans="1:13" x14ac:dyDescent="0.3">
      <c r="A150" s="4" t="s">
        <v>150</v>
      </c>
      <c r="B150" s="4" t="s">
        <v>193</v>
      </c>
      <c r="C150" s="4" t="s">
        <v>201</v>
      </c>
      <c r="D150" s="4" t="s">
        <v>205</v>
      </c>
      <c r="E150" s="4">
        <v>6</v>
      </c>
      <c r="F150" s="4" t="s">
        <v>212</v>
      </c>
      <c r="G150" s="4" t="s">
        <v>363</v>
      </c>
      <c r="H150" s="4" t="s">
        <v>414</v>
      </c>
      <c r="I150" s="4" t="s">
        <v>421</v>
      </c>
      <c r="J150" s="4" t="s">
        <v>424</v>
      </c>
      <c r="K150" s="4" t="s">
        <v>432</v>
      </c>
      <c r="L150" s="4">
        <f t="shared" si="2"/>
        <v>405.65999999999997</v>
      </c>
      <c r="M150" s="4">
        <v>67.61</v>
      </c>
    </row>
    <row r="151" spans="1:13" x14ac:dyDescent="0.3">
      <c r="A151" s="4" t="s">
        <v>151</v>
      </c>
      <c r="B151" s="4" t="s">
        <v>195</v>
      </c>
      <c r="C151" s="4" t="s">
        <v>199</v>
      </c>
      <c r="D151" s="4" t="s">
        <v>207</v>
      </c>
      <c r="E151" s="4">
        <v>6</v>
      </c>
      <c r="F151" s="4" t="s">
        <v>211</v>
      </c>
      <c r="G151" s="4" t="s">
        <v>364</v>
      </c>
      <c r="H151" s="4" t="s">
        <v>416</v>
      </c>
      <c r="I151" s="4" t="s">
        <v>419</v>
      </c>
      <c r="J151" s="4" t="s">
        <v>423</v>
      </c>
      <c r="K151" s="4" t="s">
        <v>429</v>
      </c>
      <c r="L151" s="4">
        <f t="shared" si="2"/>
        <v>353.52</v>
      </c>
      <c r="M151" s="4">
        <v>58.92</v>
      </c>
    </row>
    <row r="152" spans="1:13" x14ac:dyDescent="0.3">
      <c r="A152" s="4" t="s">
        <v>27</v>
      </c>
      <c r="B152" s="4" t="s">
        <v>190</v>
      </c>
      <c r="C152" s="4" t="s">
        <v>199</v>
      </c>
      <c r="D152" s="4" t="s">
        <v>207</v>
      </c>
      <c r="E152" s="4">
        <v>7</v>
      </c>
      <c r="F152" s="4" t="s">
        <v>210</v>
      </c>
      <c r="G152" s="4" t="s">
        <v>365</v>
      </c>
      <c r="H152" s="4" t="s">
        <v>416</v>
      </c>
      <c r="I152" s="4" t="s">
        <v>421</v>
      </c>
      <c r="J152" s="4" t="s">
        <v>425</v>
      </c>
      <c r="K152" s="4" t="s">
        <v>427</v>
      </c>
      <c r="L152" s="4">
        <f t="shared" si="2"/>
        <v>1615.18</v>
      </c>
      <c r="M152" s="4">
        <v>230.74</v>
      </c>
    </row>
    <row r="153" spans="1:13" x14ac:dyDescent="0.3">
      <c r="A153" s="4" t="s">
        <v>152</v>
      </c>
      <c r="B153" s="4" t="s">
        <v>198</v>
      </c>
      <c r="C153" s="4" t="s">
        <v>202</v>
      </c>
      <c r="D153" s="4" t="s">
        <v>208</v>
      </c>
      <c r="E153" s="4">
        <v>10</v>
      </c>
      <c r="F153" s="4" t="s">
        <v>214</v>
      </c>
      <c r="G153" s="4" t="s">
        <v>366</v>
      </c>
      <c r="H153" s="4" t="s">
        <v>416</v>
      </c>
      <c r="I153" s="4" t="s">
        <v>419</v>
      </c>
      <c r="J153" s="4" t="s">
        <v>425</v>
      </c>
      <c r="K153" s="4" t="s">
        <v>430</v>
      </c>
      <c r="L153" s="4">
        <f t="shared" si="2"/>
        <v>194.89999999999998</v>
      </c>
      <c r="M153" s="4">
        <v>19.489999999999998</v>
      </c>
    </row>
    <row r="154" spans="1:13" x14ac:dyDescent="0.3">
      <c r="A154" s="4" t="s">
        <v>31</v>
      </c>
      <c r="B154" s="4" t="s">
        <v>194</v>
      </c>
      <c r="C154" s="4" t="s">
        <v>199</v>
      </c>
      <c r="D154" s="4" t="s">
        <v>205</v>
      </c>
      <c r="E154" s="4">
        <v>2</v>
      </c>
      <c r="F154" s="4" t="s">
        <v>212</v>
      </c>
      <c r="G154" s="4" t="s">
        <v>367</v>
      </c>
      <c r="H154" s="4" t="s">
        <v>418</v>
      </c>
      <c r="I154" s="4" t="s">
        <v>421</v>
      </c>
      <c r="J154" s="4" t="s">
        <v>425</v>
      </c>
      <c r="K154" s="4" t="s">
        <v>429</v>
      </c>
      <c r="L154" s="4">
        <f t="shared" si="2"/>
        <v>746.06</v>
      </c>
      <c r="M154" s="4">
        <v>373.03</v>
      </c>
    </row>
    <row r="155" spans="1:13" x14ac:dyDescent="0.3">
      <c r="A155" s="4" t="s">
        <v>51</v>
      </c>
      <c r="B155" s="4" t="s">
        <v>192</v>
      </c>
      <c r="C155" s="4" t="s">
        <v>202</v>
      </c>
      <c r="D155" s="4" t="s">
        <v>207</v>
      </c>
      <c r="E155" s="4">
        <v>6</v>
      </c>
      <c r="F155" s="4" t="s">
        <v>211</v>
      </c>
      <c r="G155" s="4" t="s">
        <v>368</v>
      </c>
      <c r="H155" s="4" t="s">
        <v>418</v>
      </c>
      <c r="I155" s="4" t="s">
        <v>419</v>
      </c>
      <c r="J155" s="4" t="s">
        <v>423</v>
      </c>
      <c r="K155" s="4" t="s">
        <v>429</v>
      </c>
      <c r="L155" s="4">
        <f t="shared" si="2"/>
        <v>2029.1999999999998</v>
      </c>
      <c r="M155" s="4">
        <v>338.2</v>
      </c>
    </row>
    <row r="156" spans="1:13" x14ac:dyDescent="0.3">
      <c r="A156" s="4" t="s">
        <v>153</v>
      </c>
      <c r="B156" s="4" t="s">
        <v>192</v>
      </c>
      <c r="C156" s="4" t="s">
        <v>202</v>
      </c>
      <c r="D156" s="4" t="s">
        <v>208</v>
      </c>
      <c r="E156" s="4">
        <v>1</v>
      </c>
      <c r="F156" s="4" t="s">
        <v>210</v>
      </c>
      <c r="G156" s="4" t="s">
        <v>369</v>
      </c>
      <c r="H156" s="4" t="s">
        <v>416</v>
      </c>
      <c r="I156" s="4" t="s">
        <v>421</v>
      </c>
      <c r="J156" s="4" t="s">
        <v>423</v>
      </c>
      <c r="K156" s="4" t="s">
        <v>430</v>
      </c>
      <c r="L156" s="4">
        <f t="shared" si="2"/>
        <v>8.0500000000000007</v>
      </c>
      <c r="M156" s="4">
        <v>8.0500000000000007</v>
      </c>
    </row>
    <row r="157" spans="1:13" x14ac:dyDescent="0.3">
      <c r="A157" s="4" t="s">
        <v>154</v>
      </c>
      <c r="B157" s="4" t="s">
        <v>189</v>
      </c>
      <c r="C157" s="4" t="s">
        <v>199</v>
      </c>
      <c r="D157" s="4" t="s">
        <v>205</v>
      </c>
      <c r="E157" s="4">
        <v>4</v>
      </c>
      <c r="F157" s="4" t="s">
        <v>210</v>
      </c>
      <c r="G157" s="4" t="s">
        <v>370</v>
      </c>
      <c r="H157" s="4" t="s">
        <v>415</v>
      </c>
      <c r="I157" s="4" t="s">
        <v>422</v>
      </c>
      <c r="J157" s="4" t="s">
        <v>425</v>
      </c>
      <c r="K157" s="4" t="s">
        <v>428</v>
      </c>
      <c r="L157" s="4">
        <f t="shared" si="2"/>
        <v>1243</v>
      </c>
      <c r="M157" s="4">
        <v>310.75</v>
      </c>
    </row>
    <row r="158" spans="1:13" x14ac:dyDescent="0.3">
      <c r="A158" s="4" t="s">
        <v>155</v>
      </c>
      <c r="B158" s="4" t="s">
        <v>196</v>
      </c>
      <c r="C158" s="4" t="s">
        <v>201</v>
      </c>
      <c r="D158" s="4" t="s">
        <v>209</v>
      </c>
      <c r="E158" s="4">
        <v>3</v>
      </c>
      <c r="F158" s="4" t="s">
        <v>210</v>
      </c>
      <c r="G158" s="4" t="s">
        <v>371</v>
      </c>
      <c r="H158" s="4" t="s">
        <v>414</v>
      </c>
      <c r="I158" s="4" t="s">
        <v>422</v>
      </c>
      <c r="J158" s="4" t="s">
        <v>424</v>
      </c>
      <c r="K158" s="4" t="s">
        <v>428</v>
      </c>
      <c r="L158" s="4">
        <f t="shared" si="2"/>
        <v>230.76</v>
      </c>
      <c r="M158" s="4">
        <v>76.92</v>
      </c>
    </row>
    <row r="159" spans="1:13" x14ac:dyDescent="0.3">
      <c r="A159" s="4" t="s">
        <v>156</v>
      </c>
      <c r="B159" s="4" t="s">
        <v>191</v>
      </c>
      <c r="C159" s="4" t="s">
        <v>202</v>
      </c>
      <c r="D159" s="4" t="s">
        <v>209</v>
      </c>
      <c r="E159" s="4">
        <v>10</v>
      </c>
      <c r="F159" s="4" t="s">
        <v>211</v>
      </c>
      <c r="G159" s="4" t="s">
        <v>372</v>
      </c>
      <c r="H159" s="4" t="s">
        <v>414</v>
      </c>
      <c r="I159" s="4" t="s">
        <v>421</v>
      </c>
      <c r="J159" s="4" t="s">
        <v>424</v>
      </c>
      <c r="K159" s="4" t="s">
        <v>431</v>
      </c>
      <c r="L159" s="4">
        <f t="shared" si="2"/>
        <v>334.6</v>
      </c>
      <c r="M159" s="4">
        <v>33.46</v>
      </c>
    </row>
    <row r="160" spans="1:13" x14ac:dyDescent="0.3">
      <c r="A160" s="4" t="s">
        <v>157</v>
      </c>
      <c r="B160" s="4" t="s">
        <v>198</v>
      </c>
      <c r="C160" s="4" t="s">
        <v>200</v>
      </c>
      <c r="D160" s="4" t="s">
        <v>204</v>
      </c>
      <c r="E160" s="4">
        <v>10</v>
      </c>
      <c r="F160" s="4" t="s">
        <v>213</v>
      </c>
      <c r="G160" s="4" t="s">
        <v>373</v>
      </c>
      <c r="H160" s="4" t="s">
        <v>415</v>
      </c>
      <c r="I160" s="4" t="s">
        <v>420</v>
      </c>
      <c r="J160" s="4" t="s">
        <v>425</v>
      </c>
      <c r="K160" s="4" t="s">
        <v>430</v>
      </c>
      <c r="L160" s="4">
        <f t="shared" si="2"/>
        <v>279.40000000000003</v>
      </c>
      <c r="M160" s="4">
        <v>27.94</v>
      </c>
    </row>
    <row r="161" spans="1:13" x14ac:dyDescent="0.3">
      <c r="A161" s="4" t="s">
        <v>158</v>
      </c>
      <c r="B161" s="4" t="s">
        <v>196</v>
      </c>
      <c r="C161" s="4" t="s">
        <v>201</v>
      </c>
      <c r="D161" s="4" t="s">
        <v>208</v>
      </c>
      <c r="E161" s="4">
        <v>1</v>
      </c>
      <c r="F161" s="4" t="s">
        <v>213</v>
      </c>
      <c r="G161" s="4" t="s">
        <v>374</v>
      </c>
      <c r="H161" s="4" t="s">
        <v>415</v>
      </c>
      <c r="I161" s="4" t="s">
        <v>419</v>
      </c>
      <c r="J161" s="4" t="s">
        <v>423</v>
      </c>
      <c r="K161" s="4" t="s">
        <v>431</v>
      </c>
      <c r="L161" s="4">
        <f t="shared" si="2"/>
        <v>35.840000000000003</v>
      </c>
      <c r="M161" s="4">
        <v>35.840000000000003</v>
      </c>
    </row>
    <row r="162" spans="1:13" x14ac:dyDescent="0.3">
      <c r="A162" s="4" t="s">
        <v>159</v>
      </c>
      <c r="B162" s="4" t="s">
        <v>192</v>
      </c>
      <c r="C162" s="4" t="s">
        <v>200</v>
      </c>
      <c r="D162" s="4" t="s">
        <v>206</v>
      </c>
      <c r="E162" s="4">
        <v>5</v>
      </c>
      <c r="F162" s="4" t="s">
        <v>214</v>
      </c>
      <c r="G162" s="4" t="s">
        <v>375</v>
      </c>
      <c r="H162" s="4" t="s">
        <v>418</v>
      </c>
      <c r="I162" s="4" t="s">
        <v>422</v>
      </c>
      <c r="J162" s="4" t="s">
        <v>425</v>
      </c>
      <c r="K162" s="4" t="s">
        <v>429</v>
      </c>
      <c r="L162" s="4">
        <f t="shared" si="2"/>
        <v>1633.25</v>
      </c>
      <c r="M162" s="4">
        <v>326.64999999999998</v>
      </c>
    </row>
    <row r="163" spans="1:13" x14ac:dyDescent="0.3">
      <c r="A163" s="4" t="s">
        <v>128</v>
      </c>
      <c r="B163" s="4" t="s">
        <v>191</v>
      </c>
      <c r="C163" s="4" t="s">
        <v>200</v>
      </c>
      <c r="D163" s="4" t="s">
        <v>206</v>
      </c>
      <c r="E163" s="4">
        <v>7</v>
      </c>
      <c r="F163" s="4" t="s">
        <v>214</v>
      </c>
      <c r="G163" s="4" t="s">
        <v>376</v>
      </c>
      <c r="H163" s="4" t="s">
        <v>417</v>
      </c>
      <c r="I163" s="4" t="s">
        <v>422</v>
      </c>
      <c r="J163" s="4" t="s">
        <v>424</v>
      </c>
      <c r="K163" s="4" t="s">
        <v>432</v>
      </c>
      <c r="L163" s="4">
        <f t="shared" si="2"/>
        <v>2102.4500000000003</v>
      </c>
      <c r="M163" s="4">
        <v>300.35000000000002</v>
      </c>
    </row>
    <row r="164" spans="1:13" x14ac:dyDescent="0.3">
      <c r="A164" s="4" t="s">
        <v>45</v>
      </c>
      <c r="B164" s="4" t="s">
        <v>192</v>
      </c>
      <c r="C164" s="4" t="s">
        <v>202</v>
      </c>
      <c r="D164" s="4" t="s">
        <v>205</v>
      </c>
      <c r="E164" s="4">
        <v>4</v>
      </c>
      <c r="F164" s="4" t="s">
        <v>212</v>
      </c>
      <c r="G164" s="4" t="s">
        <v>377</v>
      </c>
      <c r="H164" s="4" t="s">
        <v>414</v>
      </c>
      <c r="I164" s="4" t="s">
        <v>419</v>
      </c>
      <c r="J164" s="4" t="s">
        <v>424</v>
      </c>
      <c r="K164" s="4" t="s">
        <v>428</v>
      </c>
      <c r="L164" s="4">
        <f t="shared" si="2"/>
        <v>1474.04</v>
      </c>
      <c r="M164" s="4">
        <v>368.51</v>
      </c>
    </row>
    <row r="165" spans="1:13" x14ac:dyDescent="0.3">
      <c r="A165" s="4" t="s">
        <v>160</v>
      </c>
      <c r="B165" s="4" t="s">
        <v>191</v>
      </c>
      <c r="C165" s="4" t="s">
        <v>199</v>
      </c>
      <c r="D165" s="4" t="s">
        <v>208</v>
      </c>
      <c r="E165" s="4">
        <v>5</v>
      </c>
      <c r="F165" s="4" t="s">
        <v>210</v>
      </c>
      <c r="G165" s="4" t="s">
        <v>378</v>
      </c>
      <c r="H165" s="4" t="s">
        <v>416</v>
      </c>
      <c r="I165" s="4" t="s">
        <v>419</v>
      </c>
      <c r="J165" s="4" t="s">
        <v>423</v>
      </c>
      <c r="K165" s="4" t="s">
        <v>432</v>
      </c>
      <c r="L165" s="4">
        <f t="shared" si="2"/>
        <v>296.3</v>
      </c>
      <c r="M165" s="4">
        <v>59.26</v>
      </c>
    </row>
    <row r="166" spans="1:13" x14ac:dyDescent="0.3">
      <c r="A166" s="4" t="s">
        <v>161</v>
      </c>
      <c r="B166" s="4" t="s">
        <v>197</v>
      </c>
      <c r="C166" s="4" t="s">
        <v>199</v>
      </c>
      <c r="D166" s="4" t="s">
        <v>205</v>
      </c>
      <c r="E166" s="4">
        <v>9</v>
      </c>
      <c r="F166" s="4" t="s">
        <v>210</v>
      </c>
      <c r="G166" s="4" t="s">
        <v>379</v>
      </c>
      <c r="H166" s="4" t="s">
        <v>417</v>
      </c>
      <c r="I166" s="4" t="s">
        <v>421</v>
      </c>
      <c r="J166" s="4" t="s">
        <v>424</v>
      </c>
      <c r="K166" s="4" t="s">
        <v>429</v>
      </c>
      <c r="L166" s="4">
        <f t="shared" si="2"/>
        <v>500.76</v>
      </c>
      <c r="M166" s="4">
        <v>55.64</v>
      </c>
    </row>
    <row r="167" spans="1:13" x14ac:dyDescent="0.3">
      <c r="A167" s="4" t="s">
        <v>162</v>
      </c>
      <c r="B167" s="4" t="s">
        <v>198</v>
      </c>
      <c r="C167" s="4" t="s">
        <v>201</v>
      </c>
      <c r="D167" s="4" t="s">
        <v>209</v>
      </c>
      <c r="E167" s="4">
        <v>6</v>
      </c>
      <c r="F167" s="4" t="s">
        <v>214</v>
      </c>
      <c r="G167" s="4" t="s">
        <v>380</v>
      </c>
      <c r="H167" s="4" t="s">
        <v>416</v>
      </c>
      <c r="I167" s="4" t="s">
        <v>419</v>
      </c>
      <c r="J167" s="4" t="s">
        <v>424</v>
      </c>
      <c r="K167" s="4" t="s">
        <v>432</v>
      </c>
      <c r="L167" s="4">
        <f t="shared" si="2"/>
        <v>775.26</v>
      </c>
      <c r="M167" s="4">
        <v>129.21</v>
      </c>
    </row>
    <row r="168" spans="1:13" x14ac:dyDescent="0.3">
      <c r="A168" s="4" t="s">
        <v>163</v>
      </c>
      <c r="B168" s="4" t="s">
        <v>191</v>
      </c>
      <c r="C168" s="4" t="s">
        <v>200</v>
      </c>
      <c r="D168" s="4" t="s">
        <v>209</v>
      </c>
      <c r="E168" s="4">
        <v>4</v>
      </c>
      <c r="F168" s="4" t="s">
        <v>211</v>
      </c>
      <c r="G168" s="4" t="s">
        <v>381</v>
      </c>
      <c r="H168" s="4" t="s">
        <v>416</v>
      </c>
      <c r="I168" s="4" t="s">
        <v>419</v>
      </c>
      <c r="J168" s="4" t="s">
        <v>423</v>
      </c>
      <c r="K168" s="4" t="s">
        <v>429</v>
      </c>
      <c r="L168" s="4">
        <f t="shared" si="2"/>
        <v>648.91999999999996</v>
      </c>
      <c r="M168" s="4">
        <v>162.22999999999999</v>
      </c>
    </row>
    <row r="169" spans="1:13" x14ac:dyDescent="0.3">
      <c r="A169" s="4" t="s">
        <v>164</v>
      </c>
      <c r="B169" s="4" t="s">
        <v>192</v>
      </c>
      <c r="C169" s="4" t="s">
        <v>201</v>
      </c>
      <c r="D169" s="4" t="s">
        <v>208</v>
      </c>
      <c r="E169" s="4">
        <v>9</v>
      </c>
      <c r="F169" s="4" t="s">
        <v>213</v>
      </c>
      <c r="G169" s="4" t="s">
        <v>382</v>
      </c>
      <c r="H169" s="4" t="s">
        <v>418</v>
      </c>
      <c r="I169" s="4" t="s">
        <v>420</v>
      </c>
      <c r="J169" s="4" t="s">
        <v>425</v>
      </c>
      <c r="K169" s="4" t="s">
        <v>426</v>
      </c>
      <c r="L169" s="4">
        <f t="shared" si="2"/>
        <v>1319.8500000000001</v>
      </c>
      <c r="M169" s="4">
        <v>146.65</v>
      </c>
    </row>
    <row r="170" spans="1:13" x14ac:dyDescent="0.3">
      <c r="A170" s="4" t="s">
        <v>165</v>
      </c>
      <c r="B170" s="4" t="s">
        <v>194</v>
      </c>
      <c r="C170" s="4" t="s">
        <v>200</v>
      </c>
      <c r="D170" s="4" t="s">
        <v>209</v>
      </c>
      <c r="E170" s="4">
        <v>9</v>
      </c>
      <c r="F170" s="4" t="s">
        <v>212</v>
      </c>
      <c r="G170" s="4" t="s">
        <v>383</v>
      </c>
      <c r="H170" s="4" t="s">
        <v>417</v>
      </c>
      <c r="I170" s="4" t="s">
        <v>422</v>
      </c>
      <c r="J170" s="4" t="s">
        <v>424</v>
      </c>
      <c r="K170" s="4" t="s">
        <v>426</v>
      </c>
      <c r="L170" s="4">
        <f t="shared" si="2"/>
        <v>694.53</v>
      </c>
      <c r="M170" s="4">
        <v>77.17</v>
      </c>
    </row>
    <row r="171" spans="1:13" x14ac:dyDescent="0.3">
      <c r="A171" s="4" t="s">
        <v>166</v>
      </c>
      <c r="B171" s="4" t="s">
        <v>198</v>
      </c>
      <c r="C171" s="4" t="s">
        <v>202</v>
      </c>
      <c r="D171" s="4" t="s">
        <v>206</v>
      </c>
      <c r="E171" s="4">
        <v>5</v>
      </c>
      <c r="F171" s="4" t="s">
        <v>212</v>
      </c>
      <c r="G171" s="4" t="s">
        <v>384</v>
      </c>
      <c r="H171" s="4" t="s">
        <v>418</v>
      </c>
      <c r="I171" s="4" t="s">
        <v>419</v>
      </c>
      <c r="J171" s="4" t="s">
        <v>423</v>
      </c>
      <c r="K171" s="4" t="s">
        <v>431</v>
      </c>
      <c r="L171" s="4">
        <f t="shared" si="2"/>
        <v>1081.4000000000001</v>
      </c>
      <c r="M171" s="4">
        <v>216.28</v>
      </c>
    </row>
    <row r="172" spans="1:13" x14ac:dyDescent="0.3">
      <c r="A172" s="4" t="s">
        <v>88</v>
      </c>
      <c r="B172" s="4" t="s">
        <v>196</v>
      </c>
      <c r="C172" s="4" t="s">
        <v>201</v>
      </c>
      <c r="D172" s="4" t="s">
        <v>209</v>
      </c>
      <c r="E172" s="4">
        <v>3</v>
      </c>
      <c r="F172" s="4" t="s">
        <v>214</v>
      </c>
      <c r="G172" s="4" t="s">
        <v>385</v>
      </c>
      <c r="H172" s="4" t="s">
        <v>414</v>
      </c>
      <c r="I172" s="4" t="s">
        <v>421</v>
      </c>
      <c r="J172" s="4" t="s">
        <v>424</v>
      </c>
      <c r="K172" s="4" t="s">
        <v>428</v>
      </c>
      <c r="L172" s="4">
        <f t="shared" si="2"/>
        <v>1186.5899999999999</v>
      </c>
      <c r="M172" s="4">
        <v>395.53</v>
      </c>
    </row>
    <row r="173" spans="1:13" x14ac:dyDescent="0.3">
      <c r="A173" s="4" t="s">
        <v>34</v>
      </c>
      <c r="B173" s="4" t="s">
        <v>196</v>
      </c>
      <c r="C173" s="4" t="s">
        <v>202</v>
      </c>
      <c r="D173" s="4" t="s">
        <v>203</v>
      </c>
      <c r="E173" s="4">
        <v>7</v>
      </c>
      <c r="F173" s="4" t="s">
        <v>210</v>
      </c>
      <c r="G173" s="4" t="s">
        <v>386</v>
      </c>
      <c r="H173" s="4" t="s">
        <v>416</v>
      </c>
      <c r="I173" s="4" t="s">
        <v>422</v>
      </c>
      <c r="J173" s="4" t="s">
        <v>424</v>
      </c>
      <c r="K173" s="4" t="s">
        <v>430</v>
      </c>
      <c r="L173" s="4">
        <f t="shared" si="2"/>
        <v>215.6</v>
      </c>
      <c r="M173" s="4">
        <v>30.8</v>
      </c>
    </row>
    <row r="174" spans="1:13" x14ac:dyDescent="0.3">
      <c r="A174" s="4" t="s">
        <v>167</v>
      </c>
      <c r="B174" s="4" t="s">
        <v>197</v>
      </c>
      <c r="C174" s="4" t="s">
        <v>202</v>
      </c>
      <c r="D174" s="4" t="s">
        <v>205</v>
      </c>
      <c r="E174" s="4">
        <v>5</v>
      </c>
      <c r="F174" s="4" t="s">
        <v>211</v>
      </c>
      <c r="G174" s="4" t="s">
        <v>387</v>
      </c>
      <c r="H174" s="4" t="s">
        <v>414</v>
      </c>
      <c r="I174" s="4" t="s">
        <v>421</v>
      </c>
      <c r="J174" s="4" t="s">
        <v>424</v>
      </c>
      <c r="K174" s="4" t="s">
        <v>427</v>
      </c>
      <c r="L174" s="4">
        <f t="shared" si="2"/>
        <v>909.30000000000007</v>
      </c>
      <c r="M174" s="4">
        <v>181.86</v>
      </c>
    </row>
    <row r="175" spans="1:13" x14ac:dyDescent="0.3">
      <c r="A175" s="4" t="s">
        <v>168</v>
      </c>
      <c r="B175" s="4" t="s">
        <v>194</v>
      </c>
      <c r="C175" s="4" t="s">
        <v>199</v>
      </c>
      <c r="D175" s="4" t="s">
        <v>206</v>
      </c>
      <c r="E175" s="4">
        <v>6</v>
      </c>
      <c r="F175" s="4" t="s">
        <v>212</v>
      </c>
      <c r="G175" s="4" t="s">
        <v>388</v>
      </c>
      <c r="H175" s="4" t="s">
        <v>414</v>
      </c>
      <c r="I175" s="4" t="s">
        <v>420</v>
      </c>
      <c r="J175" s="4" t="s">
        <v>425</v>
      </c>
      <c r="K175" s="4" t="s">
        <v>430</v>
      </c>
      <c r="L175" s="4">
        <f t="shared" si="2"/>
        <v>681.18000000000006</v>
      </c>
      <c r="M175" s="4">
        <v>113.53</v>
      </c>
    </row>
    <row r="176" spans="1:13" x14ac:dyDescent="0.3">
      <c r="A176" s="4" t="s">
        <v>169</v>
      </c>
      <c r="B176" s="4" t="s">
        <v>190</v>
      </c>
      <c r="C176" s="4" t="s">
        <v>200</v>
      </c>
      <c r="D176" s="4" t="s">
        <v>205</v>
      </c>
      <c r="E176" s="4">
        <v>10</v>
      </c>
      <c r="F176" s="4" t="s">
        <v>210</v>
      </c>
      <c r="G176" s="4" t="s">
        <v>389</v>
      </c>
      <c r="H176" s="4" t="s">
        <v>415</v>
      </c>
      <c r="I176" s="4" t="s">
        <v>421</v>
      </c>
      <c r="J176" s="4" t="s">
        <v>424</v>
      </c>
      <c r="K176" s="4" t="s">
        <v>432</v>
      </c>
      <c r="L176" s="4">
        <f t="shared" si="2"/>
        <v>2156.3999999999996</v>
      </c>
      <c r="M176" s="4">
        <v>215.64</v>
      </c>
    </row>
    <row r="177" spans="1:13" x14ac:dyDescent="0.3">
      <c r="A177" s="4" t="s">
        <v>170</v>
      </c>
      <c r="B177" s="4" t="s">
        <v>192</v>
      </c>
      <c r="C177" s="4" t="s">
        <v>200</v>
      </c>
      <c r="D177" s="4" t="s">
        <v>206</v>
      </c>
      <c r="E177" s="4">
        <v>9</v>
      </c>
      <c r="F177" s="4" t="s">
        <v>211</v>
      </c>
      <c r="G177" s="4" t="s">
        <v>390</v>
      </c>
      <c r="H177" s="4" t="s">
        <v>414</v>
      </c>
      <c r="I177" s="4" t="s">
        <v>419</v>
      </c>
      <c r="J177" s="4" t="s">
        <v>424</v>
      </c>
      <c r="K177" s="4" t="s">
        <v>432</v>
      </c>
      <c r="L177" s="4">
        <f t="shared" si="2"/>
        <v>3588.75</v>
      </c>
      <c r="M177" s="4">
        <v>398.75</v>
      </c>
    </row>
    <row r="178" spans="1:13" x14ac:dyDescent="0.3">
      <c r="A178" s="4" t="s">
        <v>171</v>
      </c>
      <c r="B178" s="4" t="s">
        <v>193</v>
      </c>
      <c r="C178" s="4" t="s">
        <v>202</v>
      </c>
      <c r="D178" s="4" t="s">
        <v>207</v>
      </c>
      <c r="E178" s="4">
        <v>7</v>
      </c>
      <c r="F178" s="4" t="s">
        <v>210</v>
      </c>
      <c r="G178" s="4" t="s">
        <v>391</v>
      </c>
      <c r="H178" s="4" t="s">
        <v>416</v>
      </c>
      <c r="I178" s="4" t="s">
        <v>420</v>
      </c>
      <c r="J178" s="4" t="s">
        <v>423</v>
      </c>
      <c r="K178" s="4" t="s">
        <v>430</v>
      </c>
      <c r="L178" s="4">
        <f t="shared" si="2"/>
        <v>1036.98</v>
      </c>
      <c r="M178" s="4">
        <v>148.13999999999999</v>
      </c>
    </row>
    <row r="179" spans="1:13" x14ac:dyDescent="0.3">
      <c r="A179" s="4" t="s">
        <v>172</v>
      </c>
      <c r="B179" s="4" t="s">
        <v>198</v>
      </c>
      <c r="C179" s="4" t="s">
        <v>200</v>
      </c>
      <c r="D179" s="4" t="s">
        <v>204</v>
      </c>
      <c r="E179" s="4">
        <v>7</v>
      </c>
      <c r="F179" s="4" t="s">
        <v>214</v>
      </c>
      <c r="G179" s="4" t="s">
        <v>392</v>
      </c>
      <c r="H179" s="4" t="s">
        <v>415</v>
      </c>
      <c r="I179" s="4" t="s">
        <v>421</v>
      </c>
      <c r="J179" s="4" t="s">
        <v>423</v>
      </c>
      <c r="K179" s="4" t="s">
        <v>431</v>
      </c>
      <c r="L179" s="4">
        <f t="shared" si="2"/>
        <v>1810.83</v>
      </c>
      <c r="M179" s="4">
        <v>258.69</v>
      </c>
    </row>
    <row r="180" spans="1:13" x14ac:dyDescent="0.3">
      <c r="A180" s="4" t="s">
        <v>173</v>
      </c>
      <c r="B180" s="4" t="s">
        <v>193</v>
      </c>
      <c r="C180" s="4" t="s">
        <v>202</v>
      </c>
      <c r="D180" s="4" t="s">
        <v>206</v>
      </c>
      <c r="E180" s="4">
        <v>7</v>
      </c>
      <c r="F180" s="4" t="s">
        <v>210</v>
      </c>
      <c r="G180" s="4" t="s">
        <v>393</v>
      </c>
      <c r="H180" s="4" t="s">
        <v>414</v>
      </c>
      <c r="I180" s="4" t="s">
        <v>422</v>
      </c>
      <c r="J180" s="4" t="s">
        <v>425</v>
      </c>
      <c r="K180" s="4" t="s">
        <v>432</v>
      </c>
      <c r="L180" s="4">
        <f t="shared" si="2"/>
        <v>803.32</v>
      </c>
      <c r="M180" s="4">
        <v>114.76</v>
      </c>
    </row>
    <row r="181" spans="1:13" x14ac:dyDescent="0.3">
      <c r="A181" s="4" t="s">
        <v>174</v>
      </c>
      <c r="B181" s="4" t="s">
        <v>192</v>
      </c>
      <c r="C181" s="4" t="s">
        <v>201</v>
      </c>
      <c r="D181" s="4" t="s">
        <v>209</v>
      </c>
      <c r="E181" s="4">
        <v>3</v>
      </c>
      <c r="F181" s="4" t="s">
        <v>213</v>
      </c>
      <c r="G181" s="4" t="s">
        <v>394</v>
      </c>
      <c r="H181" s="4" t="s">
        <v>417</v>
      </c>
      <c r="I181" s="4" t="s">
        <v>419</v>
      </c>
      <c r="J181" s="4" t="s">
        <v>423</v>
      </c>
      <c r="K181" s="4" t="s">
        <v>426</v>
      </c>
      <c r="L181" s="4">
        <f t="shared" si="2"/>
        <v>175.35000000000002</v>
      </c>
      <c r="M181" s="4">
        <v>58.45</v>
      </c>
    </row>
    <row r="182" spans="1:13" x14ac:dyDescent="0.3">
      <c r="A182" s="4" t="s">
        <v>175</v>
      </c>
      <c r="B182" s="4" t="s">
        <v>196</v>
      </c>
      <c r="C182" s="4" t="s">
        <v>199</v>
      </c>
      <c r="D182" s="4" t="s">
        <v>206</v>
      </c>
      <c r="E182" s="4">
        <v>10</v>
      </c>
      <c r="F182" s="4" t="s">
        <v>210</v>
      </c>
      <c r="G182" s="4" t="s">
        <v>395</v>
      </c>
      <c r="H182" s="4" t="s">
        <v>417</v>
      </c>
      <c r="I182" s="4" t="s">
        <v>422</v>
      </c>
      <c r="J182" s="4" t="s">
        <v>424</v>
      </c>
      <c r="K182" s="4" t="s">
        <v>429</v>
      </c>
      <c r="L182" s="4">
        <f t="shared" si="2"/>
        <v>2388.6999999999998</v>
      </c>
      <c r="M182" s="4">
        <v>238.87</v>
      </c>
    </row>
    <row r="183" spans="1:13" x14ac:dyDescent="0.3">
      <c r="A183" s="4" t="s">
        <v>63</v>
      </c>
      <c r="B183" s="4" t="s">
        <v>195</v>
      </c>
      <c r="C183" s="4" t="s">
        <v>199</v>
      </c>
      <c r="D183" s="4" t="s">
        <v>207</v>
      </c>
      <c r="E183" s="4">
        <v>9</v>
      </c>
      <c r="F183" s="4" t="s">
        <v>212</v>
      </c>
      <c r="G183" s="4" t="s">
        <v>396</v>
      </c>
      <c r="H183" s="4" t="s">
        <v>415</v>
      </c>
      <c r="I183" s="4" t="s">
        <v>422</v>
      </c>
      <c r="J183" s="4" t="s">
        <v>424</v>
      </c>
      <c r="K183" s="4" t="s">
        <v>429</v>
      </c>
      <c r="L183" s="4">
        <f t="shared" si="2"/>
        <v>2003.4900000000002</v>
      </c>
      <c r="M183" s="4">
        <v>222.61</v>
      </c>
    </row>
    <row r="184" spans="1:13" x14ac:dyDescent="0.3">
      <c r="A184" s="4" t="s">
        <v>176</v>
      </c>
      <c r="B184" s="4" t="s">
        <v>195</v>
      </c>
      <c r="C184" s="4" t="s">
        <v>202</v>
      </c>
      <c r="D184" s="4" t="s">
        <v>204</v>
      </c>
      <c r="E184" s="4">
        <v>6</v>
      </c>
      <c r="F184" s="4" t="s">
        <v>210</v>
      </c>
      <c r="G184" s="4" t="s">
        <v>397</v>
      </c>
      <c r="H184" s="4" t="s">
        <v>418</v>
      </c>
      <c r="I184" s="4" t="s">
        <v>419</v>
      </c>
      <c r="J184" s="4" t="s">
        <v>425</v>
      </c>
      <c r="K184" s="4" t="s">
        <v>432</v>
      </c>
      <c r="L184" s="4">
        <f t="shared" si="2"/>
        <v>929.33999999999992</v>
      </c>
      <c r="M184" s="4">
        <v>154.88999999999999</v>
      </c>
    </row>
    <row r="185" spans="1:13" x14ac:dyDescent="0.3">
      <c r="A185" s="4" t="s">
        <v>177</v>
      </c>
      <c r="B185" s="4" t="s">
        <v>194</v>
      </c>
      <c r="C185" s="4" t="s">
        <v>199</v>
      </c>
      <c r="D185" s="4" t="s">
        <v>205</v>
      </c>
      <c r="E185" s="4">
        <v>6</v>
      </c>
      <c r="F185" s="4" t="s">
        <v>212</v>
      </c>
      <c r="G185" s="4" t="s">
        <v>398</v>
      </c>
      <c r="H185" s="4" t="s">
        <v>414</v>
      </c>
      <c r="I185" s="4" t="s">
        <v>420</v>
      </c>
      <c r="J185" s="4" t="s">
        <v>423</v>
      </c>
      <c r="K185" s="4" t="s">
        <v>428</v>
      </c>
      <c r="L185" s="4">
        <f t="shared" si="2"/>
        <v>2387.1000000000004</v>
      </c>
      <c r="M185" s="4">
        <v>397.85</v>
      </c>
    </row>
    <row r="186" spans="1:13" x14ac:dyDescent="0.3">
      <c r="A186" s="4" t="s">
        <v>178</v>
      </c>
      <c r="B186" s="4" t="s">
        <v>195</v>
      </c>
      <c r="C186" s="4" t="s">
        <v>201</v>
      </c>
      <c r="D186" s="4" t="s">
        <v>203</v>
      </c>
      <c r="E186" s="4">
        <v>10</v>
      </c>
      <c r="F186" s="4" t="s">
        <v>214</v>
      </c>
      <c r="G186" s="4" t="s">
        <v>399</v>
      </c>
      <c r="H186" s="4" t="s">
        <v>414</v>
      </c>
      <c r="I186" s="4" t="s">
        <v>419</v>
      </c>
      <c r="J186" s="4" t="s">
        <v>423</v>
      </c>
      <c r="K186" s="4" t="s">
        <v>431</v>
      </c>
      <c r="L186" s="4">
        <f t="shared" si="2"/>
        <v>129.30000000000001</v>
      </c>
      <c r="M186" s="4">
        <v>12.93</v>
      </c>
    </row>
    <row r="187" spans="1:13" x14ac:dyDescent="0.3">
      <c r="A187" s="4" t="s">
        <v>179</v>
      </c>
      <c r="B187" s="4" t="s">
        <v>194</v>
      </c>
      <c r="C187" s="4" t="s">
        <v>202</v>
      </c>
      <c r="D187" s="4" t="s">
        <v>203</v>
      </c>
      <c r="E187" s="4">
        <v>2</v>
      </c>
      <c r="F187" s="4" t="s">
        <v>212</v>
      </c>
      <c r="G187" s="4" t="s">
        <v>400</v>
      </c>
      <c r="H187" s="4" t="s">
        <v>416</v>
      </c>
      <c r="I187" s="4" t="s">
        <v>419</v>
      </c>
      <c r="J187" s="4" t="s">
        <v>424</v>
      </c>
      <c r="K187" s="4" t="s">
        <v>426</v>
      </c>
      <c r="L187" s="4">
        <f t="shared" si="2"/>
        <v>446.46</v>
      </c>
      <c r="M187" s="4">
        <v>223.23</v>
      </c>
    </row>
    <row r="188" spans="1:13" x14ac:dyDescent="0.3">
      <c r="A188" s="4" t="s">
        <v>26</v>
      </c>
      <c r="B188" s="4" t="s">
        <v>189</v>
      </c>
      <c r="C188" s="4" t="s">
        <v>202</v>
      </c>
      <c r="D188" s="4" t="s">
        <v>207</v>
      </c>
      <c r="E188" s="4">
        <v>6</v>
      </c>
      <c r="F188" s="4" t="s">
        <v>210</v>
      </c>
      <c r="G188" s="4" t="s">
        <v>401</v>
      </c>
      <c r="H188" s="4" t="s">
        <v>414</v>
      </c>
      <c r="I188" s="4" t="s">
        <v>419</v>
      </c>
      <c r="J188" s="4" t="s">
        <v>424</v>
      </c>
      <c r="K188" s="4" t="s">
        <v>430</v>
      </c>
      <c r="L188" s="4">
        <f t="shared" si="2"/>
        <v>1310.52</v>
      </c>
      <c r="M188" s="4">
        <v>218.42</v>
      </c>
    </row>
    <row r="189" spans="1:13" x14ac:dyDescent="0.3">
      <c r="A189" s="4" t="s">
        <v>170</v>
      </c>
      <c r="B189" s="4" t="s">
        <v>196</v>
      </c>
      <c r="C189" s="4" t="s">
        <v>200</v>
      </c>
      <c r="D189" s="4" t="s">
        <v>204</v>
      </c>
      <c r="E189" s="4">
        <v>6</v>
      </c>
      <c r="F189" s="4" t="s">
        <v>214</v>
      </c>
      <c r="G189" s="4" t="s">
        <v>402</v>
      </c>
      <c r="H189" s="4" t="s">
        <v>416</v>
      </c>
      <c r="I189" s="4" t="s">
        <v>422</v>
      </c>
      <c r="J189" s="4" t="s">
        <v>424</v>
      </c>
      <c r="K189" s="4" t="s">
        <v>427</v>
      </c>
      <c r="L189" s="4">
        <f t="shared" si="2"/>
        <v>1504.98</v>
      </c>
      <c r="M189" s="4">
        <v>250.83</v>
      </c>
    </row>
    <row r="190" spans="1:13" x14ac:dyDescent="0.3">
      <c r="A190" s="4" t="s">
        <v>180</v>
      </c>
      <c r="B190" s="4" t="s">
        <v>189</v>
      </c>
      <c r="C190" s="4" t="s">
        <v>201</v>
      </c>
      <c r="D190" s="4" t="s">
        <v>206</v>
      </c>
      <c r="E190" s="4">
        <v>5</v>
      </c>
      <c r="F190" s="4" t="s">
        <v>210</v>
      </c>
      <c r="G190" s="4" t="s">
        <v>403</v>
      </c>
      <c r="H190" s="4" t="s">
        <v>418</v>
      </c>
      <c r="I190" s="4" t="s">
        <v>421</v>
      </c>
      <c r="J190" s="4" t="s">
        <v>425</v>
      </c>
      <c r="K190" s="4" t="s">
        <v>430</v>
      </c>
      <c r="L190" s="4">
        <f t="shared" si="2"/>
        <v>1037.95</v>
      </c>
      <c r="M190" s="4">
        <v>207.59</v>
      </c>
    </row>
    <row r="191" spans="1:13" x14ac:dyDescent="0.3">
      <c r="A191" s="4" t="s">
        <v>181</v>
      </c>
      <c r="B191" s="4" t="s">
        <v>197</v>
      </c>
      <c r="C191" s="4" t="s">
        <v>200</v>
      </c>
      <c r="D191" s="4" t="s">
        <v>206</v>
      </c>
      <c r="E191" s="4">
        <v>3</v>
      </c>
      <c r="F191" s="4" t="s">
        <v>214</v>
      </c>
      <c r="G191" s="4" t="s">
        <v>404</v>
      </c>
      <c r="H191" s="4" t="s">
        <v>415</v>
      </c>
      <c r="I191" s="4" t="s">
        <v>421</v>
      </c>
      <c r="J191" s="4" t="s">
        <v>425</v>
      </c>
      <c r="K191" s="4" t="s">
        <v>426</v>
      </c>
      <c r="L191" s="4">
        <f t="shared" si="2"/>
        <v>237.99</v>
      </c>
      <c r="M191" s="4">
        <v>79.33</v>
      </c>
    </row>
    <row r="192" spans="1:13" x14ac:dyDescent="0.3">
      <c r="A192" s="4" t="s">
        <v>182</v>
      </c>
      <c r="B192" s="4" t="s">
        <v>197</v>
      </c>
      <c r="C192" s="4" t="s">
        <v>200</v>
      </c>
      <c r="D192" s="4" t="s">
        <v>206</v>
      </c>
      <c r="E192" s="4">
        <v>6</v>
      </c>
      <c r="F192" s="4" t="s">
        <v>210</v>
      </c>
      <c r="G192" s="4" t="s">
        <v>405</v>
      </c>
      <c r="H192" s="4" t="s">
        <v>414</v>
      </c>
      <c r="I192" s="4" t="s">
        <v>420</v>
      </c>
      <c r="J192" s="4" t="s">
        <v>425</v>
      </c>
      <c r="K192" s="4" t="s">
        <v>428</v>
      </c>
      <c r="L192" s="4">
        <f t="shared" si="2"/>
        <v>454.38</v>
      </c>
      <c r="M192" s="4">
        <v>75.73</v>
      </c>
    </row>
    <row r="193" spans="1:13" x14ac:dyDescent="0.3">
      <c r="A193" s="4" t="s">
        <v>183</v>
      </c>
      <c r="B193" s="4" t="s">
        <v>198</v>
      </c>
      <c r="C193" s="4" t="s">
        <v>201</v>
      </c>
      <c r="D193" s="4" t="s">
        <v>208</v>
      </c>
      <c r="E193" s="4">
        <v>3</v>
      </c>
      <c r="F193" s="4" t="s">
        <v>212</v>
      </c>
      <c r="G193" s="4" t="s">
        <v>406</v>
      </c>
      <c r="H193" s="4" t="s">
        <v>415</v>
      </c>
      <c r="I193" s="4" t="s">
        <v>422</v>
      </c>
      <c r="J193" s="4" t="s">
        <v>424</v>
      </c>
      <c r="K193" s="4" t="s">
        <v>431</v>
      </c>
      <c r="L193" s="4">
        <f t="shared" si="2"/>
        <v>596.31000000000006</v>
      </c>
      <c r="M193" s="4">
        <v>198.77</v>
      </c>
    </row>
    <row r="194" spans="1:13" x14ac:dyDescent="0.3">
      <c r="A194" s="4" t="s">
        <v>184</v>
      </c>
      <c r="B194" s="4" t="s">
        <v>197</v>
      </c>
      <c r="C194" s="4" t="s">
        <v>202</v>
      </c>
      <c r="D194" s="4" t="s">
        <v>207</v>
      </c>
      <c r="E194" s="4">
        <v>8</v>
      </c>
      <c r="F194" s="4" t="s">
        <v>214</v>
      </c>
      <c r="G194" s="4" t="s">
        <v>407</v>
      </c>
      <c r="H194" s="4" t="s">
        <v>415</v>
      </c>
      <c r="I194" s="4" t="s">
        <v>422</v>
      </c>
      <c r="J194" s="4" t="s">
        <v>424</v>
      </c>
      <c r="K194" s="4" t="s">
        <v>432</v>
      </c>
      <c r="L194" s="4">
        <f t="shared" si="2"/>
        <v>2948.08</v>
      </c>
      <c r="M194" s="4">
        <v>368.51</v>
      </c>
    </row>
    <row r="195" spans="1:13" x14ac:dyDescent="0.3">
      <c r="A195" s="4" t="s">
        <v>45</v>
      </c>
      <c r="B195" s="4" t="s">
        <v>192</v>
      </c>
      <c r="C195" s="4" t="s">
        <v>202</v>
      </c>
      <c r="D195" s="4" t="s">
        <v>203</v>
      </c>
      <c r="E195" s="4">
        <v>3</v>
      </c>
      <c r="F195" s="4" t="s">
        <v>213</v>
      </c>
      <c r="G195" s="4" t="s">
        <v>408</v>
      </c>
      <c r="H195" s="4" t="s">
        <v>418</v>
      </c>
      <c r="I195" s="4" t="s">
        <v>419</v>
      </c>
      <c r="J195" s="4" t="s">
        <v>424</v>
      </c>
      <c r="K195" s="4" t="s">
        <v>426</v>
      </c>
      <c r="L195" s="4">
        <f t="shared" ref="L195:L200" si="3">PRODUCT(M195,E195)</f>
        <v>840.36</v>
      </c>
      <c r="M195" s="4">
        <v>280.12</v>
      </c>
    </row>
    <row r="196" spans="1:13" x14ac:dyDescent="0.3">
      <c r="A196" s="4" t="s">
        <v>185</v>
      </c>
      <c r="B196" s="4" t="s">
        <v>191</v>
      </c>
      <c r="C196" s="4" t="s">
        <v>199</v>
      </c>
      <c r="D196" s="4" t="s">
        <v>209</v>
      </c>
      <c r="E196" s="4">
        <v>10</v>
      </c>
      <c r="F196" s="4" t="s">
        <v>210</v>
      </c>
      <c r="G196" s="4" t="s">
        <v>409</v>
      </c>
      <c r="H196" s="4" t="s">
        <v>414</v>
      </c>
      <c r="I196" s="4" t="s">
        <v>422</v>
      </c>
      <c r="J196" s="4" t="s">
        <v>424</v>
      </c>
      <c r="K196" s="4" t="s">
        <v>431</v>
      </c>
      <c r="L196" s="4">
        <f t="shared" si="3"/>
        <v>2582.6999999999998</v>
      </c>
      <c r="M196" s="4">
        <v>258.27</v>
      </c>
    </row>
    <row r="197" spans="1:13" x14ac:dyDescent="0.3">
      <c r="A197" s="4" t="s">
        <v>186</v>
      </c>
      <c r="B197" s="4" t="s">
        <v>193</v>
      </c>
      <c r="C197" s="4" t="s">
        <v>199</v>
      </c>
      <c r="D197" s="4" t="s">
        <v>205</v>
      </c>
      <c r="E197" s="4">
        <v>4</v>
      </c>
      <c r="F197" s="4" t="s">
        <v>211</v>
      </c>
      <c r="G197" s="4" t="s">
        <v>410</v>
      </c>
      <c r="H197" s="4" t="s">
        <v>415</v>
      </c>
      <c r="I197" s="4" t="s">
        <v>422</v>
      </c>
      <c r="J197" s="4" t="s">
        <v>425</v>
      </c>
      <c r="K197" s="4" t="s">
        <v>430</v>
      </c>
      <c r="L197" s="4">
        <f t="shared" si="3"/>
        <v>835.32</v>
      </c>
      <c r="M197" s="4">
        <v>208.83</v>
      </c>
    </row>
    <row r="198" spans="1:13" x14ac:dyDescent="0.3">
      <c r="A198" s="4" t="s">
        <v>187</v>
      </c>
      <c r="B198" s="4" t="s">
        <v>195</v>
      </c>
      <c r="C198" s="4" t="s">
        <v>199</v>
      </c>
      <c r="D198" s="4" t="s">
        <v>208</v>
      </c>
      <c r="E198" s="4">
        <v>7</v>
      </c>
      <c r="F198" s="4" t="s">
        <v>212</v>
      </c>
      <c r="G198" s="4" t="s">
        <v>411</v>
      </c>
      <c r="H198" s="4" t="s">
        <v>416</v>
      </c>
      <c r="I198" s="4" t="s">
        <v>422</v>
      </c>
      <c r="J198" s="4" t="s">
        <v>423</v>
      </c>
      <c r="K198" s="4" t="s">
        <v>428</v>
      </c>
      <c r="L198" s="4">
        <f t="shared" si="3"/>
        <v>768.53000000000009</v>
      </c>
      <c r="M198" s="4">
        <v>109.79</v>
      </c>
    </row>
    <row r="199" spans="1:13" x14ac:dyDescent="0.3">
      <c r="A199" s="4" t="s">
        <v>188</v>
      </c>
      <c r="B199" s="4" t="s">
        <v>197</v>
      </c>
      <c r="C199" s="4" t="s">
        <v>199</v>
      </c>
      <c r="D199" s="4" t="s">
        <v>206</v>
      </c>
      <c r="E199" s="4">
        <v>6</v>
      </c>
      <c r="F199" s="4" t="s">
        <v>214</v>
      </c>
      <c r="G199" s="4" t="s">
        <v>412</v>
      </c>
      <c r="H199" s="4" t="s">
        <v>415</v>
      </c>
      <c r="I199" s="4" t="s">
        <v>420</v>
      </c>
      <c r="J199" s="4" t="s">
        <v>423</v>
      </c>
      <c r="K199" s="4" t="s">
        <v>432</v>
      </c>
      <c r="L199" s="4">
        <f t="shared" si="3"/>
        <v>1711.56</v>
      </c>
      <c r="M199" s="4">
        <v>285.26</v>
      </c>
    </row>
    <row r="200" spans="1:13" x14ac:dyDescent="0.3">
      <c r="A200" s="4" t="s">
        <v>77</v>
      </c>
      <c r="B200" s="4" t="s">
        <v>196</v>
      </c>
      <c r="C200" s="4" t="s">
        <v>200</v>
      </c>
      <c r="D200" s="4" t="s">
        <v>206</v>
      </c>
      <c r="E200" s="4">
        <v>6</v>
      </c>
      <c r="F200" s="4" t="s">
        <v>214</v>
      </c>
      <c r="G200" s="4" t="s">
        <v>413</v>
      </c>
      <c r="H200" s="4" t="s">
        <v>414</v>
      </c>
      <c r="I200" s="4" t="s">
        <v>420</v>
      </c>
      <c r="J200" s="4" t="s">
        <v>424</v>
      </c>
      <c r="K200" s="4" t="s">
        <v>432</v>
      </c>
      <c r="L200" s="4">
        <f t="shared" si="3"/>
        <v>2363.2200000000003</v>
      </c>
      <c r="M200" s="4">
        <v>393.87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Admin</cp:lastModifiedBy>
  <dcterms:created xsi:type="dcterms:W3CDTF">2025-06-21T13:19:12Z</dcterms:created>
  <dcterms:modified xsi:type="dcterms:W3CDTF">2026-01-07T06:36:18Z</dcterms:modified>
</cp:coreProperties>
</file>