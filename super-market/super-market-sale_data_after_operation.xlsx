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dmin\OneDrive\Desktop\power bi\super-market\"/>
    </mc:Choice>
  </mc:AlternateContent>
  <bookViews>
    <workbookView xWindow="0" yWindow="0" windowWidth="17256" windowHeight="5844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2" i="1"/>
  <c r="I7" i="1"/>
  <c r="I8" i="1"/>
  <c r="I14" i="1"/>
  <c r="I22" i="1"/>
  <c r="I23" i="1"/>
  <c r="I24" i="1"/>
  <c r="I31" i="1"/>
  <c r="I32" i="1"/>
  <c r="I38" i="1"/>
  <c r="I46" i="1"/>
  <c r="I47" i="1"/>
  <c r="I48" i="1"/>
  <c r="G3" i="1"/>
  <c r="G4" i="1"/>
  <c r="G5" i="1"/>
  <c r="H5" i="1" s="1"/>
  <c r="I5" i="1" s="1"/>
  <c r="G6" i="1"/>
  <c r="H6" i="1" s="1"/>
  <c r="I6" i="1" s="1"/>
  <c r="G7" i="1"/>
  <c r="G8" i="1"/>
  <c r="G9" i="1"/>
  <c r="H9" i="1" s="1"/>
  <c r="I9" i="1" s="1"/>
  <c r="G10" i="1"/>
  <c r="H10" i="1" s="1"/>
  <c r="I10" i="1" s="1"/>
  <c r="G11" i="1"/>
  <c r="H11" i="1" s="1"/>
  <c r="I11" i="1" s="1"/>
  <c r="G12" i="1"/>
  <c r="H12" i="1" s="1"/>
  <c r="I12" i="1" s="1"/>
  <c r="G13" i="1"/>
  <c r="H13" i="1" s="1"/>
  <c r="I13" i="1" s="1"/>
  <c r="G14" i="1"/>
  <c r="G15" i="1"/>
  <c r="H15" i="1" s="1"/>
  <c r="I15" i="1" s="1"/>
  <c r="G16" i="1"/>
  <c r="G17" i="1"/>
  <c r="H17" i="1" s="1"/>
  <c r="I17" i="1" s="1"/>
  <c r="G18" i="1"/>
  <c r="H18" i="1" s="1"/>
  <c r="I18" i="1" s="1"/>
  <c r="G19" i="1"/>
  <c r="G20" i="1"/>
  <c r="H20" i="1" s="1"/>
  <c r="I20" i="1" s="1"/>
  <c r="G21" i="1"/>
  <c r="H21" i="1" s="1"/>
  <c r="I21" i="1" s="1"/>
  <c r="G22" i="1"/>
  <c r="G23" i="1"/>
  <c r="G24" i="1"/>
  <c r="G25" i="1"/>
  <c r="H25" i="1" s="1"/>
  <c r="I25" i="1" s="1"/>
  <c r="G26" i="1"/>
  <c r="H26" i="1" s="1"/>
  <c r="I26" i="1" s="1"/>
  <c r="G27" i="1"/>
  <c r="H27" i="1" s="1"/>
  <c r="I27" i="1" s="1"/>
  <c r="G28" i="1"/>
  <c r="H28" i="1" s="1"/>
  <c r="I28" i="1" s="1"/>
  <c r="G29" i="1"/>
  <c r="G30" i="1"/>
  <c r="G31" i="1"/>
  <c r="G32" i="1"/>
  <c r="H32" i="1" s="1"/>
  <c r="G33" i="1"/>
  <c r="H33" i="1" s="1"/>
  <c r="I33" i="1" s="1"/>
  <c r="G34" i="1"/>
  <c r="G35" i="1"/>
  <c r="H35" i="1" s="1"/>
  <c r="I35" i="1" s="1"/>
  <c r="G36" i="1"/>
  <c r="H36" i="1" s="1"/>
  <c r="I36" i="1" s="1"/>
  <c r="G37" i="1"/>
  <c r="H37" i="1" s="1"/>
  <c r="I37" i="1" s="1"/>
  <c r="G38" i="1"/>
  <c r="G39" i="1"/>
  <c r="H39" i="1" s="1"/>
  <c r="I39" i="1" s="1"/>
  <c r="G40" i="1"/>
  <c r="G41" i="1"/>
  <c r="G42" i="1"/>
  <c r="G43" i="1"/>
  <c r="H43" i="1" s="1"/>
  <c r="I43" i="1" s="1"/>
  <c r="G44" i="1"/>
  <c r="H44" i="1" s="1"/>
  <c r="I44" i="1" s="1"/>
  <c r="G45" i="1"/>
  <c r="H45" i="1" s="1"/>
  <c r="I45" i="1" s="1"/>
  <c r="G46" i="1"/>
  <c r="G47" i="1"/>
  <c r="H47" i="1" s="1"/>
  <c r="G48" i="1"/>
  <c r="G49" i="1"/>
  <c r="H49" i="1" s="1"/>
  <c r="I49" i="1" s="1"/>
  <c r="G50" i="1"/>
  <c r="H50" i="1" s="1"/>
  <c r="I50" i="1" s="1"/>
  <c r="G51" i="1"/>
  <c r="H51" i="1" s="1"/>
  <c r="I51" i="1" s="1"/>
  <c r="G52" i="1"/>
  <c r="H52" i="1" s="1"/>
  <c r="I52" i="1" s="1"/>
  <c r="G2" i="1"/>
  <c r="H2" i="1" s="1"/>
  <c r="I2" i="1" s="1"/>
  <c r="H48" i="1"/>
  <c r="H46" i="1"/>
  <c r="H42" i="1"/>
  <c r="I42" i="1" s="1"/>
  <c r="H41" i="1"/>
  <c r="I41" i="1" s="1"/>
  <c r="H40" i="1"/>
  <c r="I40" i="1" s="1"/>
  <c r="H38" i="1"/>
  <c r="H34" i="1"/>
  <c r="I34" i="1" s="1"/>
  <c r="H31" i="1"/>
  <c r="H30" i="1"/>
  <c r="I30" i="1" s="1"/>
  <c r="H29" i="1"/>
  <c r="I29" i="1" s="1"/>
  <c r="H24" i="1"/>
  <c r="H23" i="1"/>
  <c r="H22" i="1"/>
  <c r="H19" i="1"/>
  <c r="I19" i="1" s="1"/>
  <c r="H16" i="1"/>
  <c r="I16" i="1" s="1"/>
  <c r="H14" i="1"/>
  <c r="H8" i="1"/>
  <c r="H7" i="1"/>
  <c r="H4" i="1"/>
  <c r="I4" i="1" s="1"/>
  <c r="H3" i="1"/>
  <c r="I3" i="1" s="1"/>
</calcChain>
</file>

<file path=xl/sharedStrings.xml><?xml version="1.0" encoding="utf-8"?>
<sst xmlns="http://schemas.openxmlformats.org/spreadsheetml/2006/main" count="113" uniqueCount="113">
  <si>
    <t>Order No</t>
  </si>
  <si>
    <t>Order Date</t>
  </si>
  <si>
    <t>Customer Name</t>
  </si>
  <si>
    <t>Ship Date</t>
  </si>
  <si>
    <t>Retail Price (USD)</t>
  </si>
  <si>
    <t>Order Quantity</t>
  </si>
  <si>
    <t>Tax (USD)</t>
  </si>
  <si>
    <t>Total (USD)</t>
  </si>
  <si>
    <t>1001</t>
  </si>
  <si>
    <t>John Smith</t>
  </si>
  <si>
    <t>1002</t>
  </si>
  <si>
    <t>Jane Doe</t>
  </si>
  <si>
    <t>1003</t>
  </si>
  <si>
    <t>Michael Johnson</t>
  </si>
  <si>
    <t>1004</t>
  </si>
  <si>
    <t>Emily Brown</t>
  </si>
  <si>
    <t>1005</t>
  </si>
  <si>
    <t>David Wilson</t>
  </si>
  <si>
    <t>1006</t>
  </si>
  <si>
    <t>Lisa Taylor</t>
  </si>
  <si>
    <t>1007</t>
  </si>
  <si>
    <t>Daniel Martinez</t>
  </si>
  <si>
    <t>1008</t>
  </si>
  <si>
    <t>Sarah Anderson</t>
  </si>
  <si>
    <t>1009</t>
  </si>
  <si>
    <t>Christopher Thomas</t>
  </si>
  <si>
    <t>1010</t>
  </si>
  <si>
    <t>Kimberly Garcia</t>
  </si>
  <si>
    <t>1011</t>
  </si>
  <si>
    <t>William Hernandez</t>
  </si>
  <si>
    <t>1012</t>
  </si>
  <si>
    <t>Melissa Lopez</t>
  </si>
  <si>
    <t>1013</t>
  </si>
  <si>
    <t>Richard Perez</t>
  </si>
  <si>
    <t>1014</t>
  </si>
  <si>
    <t>Jessica Gonzalez</t>
  </si>
  <si>
    <t>1015</t>
  </si>
  <si>
    <t>Matthew Wilson</t>
  </si>
  <si>
    <t>1016</t>
  </si>
  <si>
    <t>Amanda Martinez</t>
  </si>
  <si>
    <t>1017</t>
  </si>
  <si>
    <t>James Johnson</t>
  </si>
  <si>
    <t>1018</t>
  </si>
  <si>
    <t>Laura Brown</t>
  </si>
  <si>
    <t>1019</t>
  </si>
  <si>
    <t>Daniel Smith</t>
  </si>
  <si>
    <t>1020</t>
  </si>
  <si>
    <t>Jennifer Davis</t>
  </si>
  <si>
    <t>1021</t>
  </si>
  <si>
    <t>Michael Garcia</t>
  </si>
  <si>
    <t>1022</t>
  </si>
  <si>
    <t>Amy Hernandez</t>
  </si>
  <si>
    <t>1023</t>
  </si>
  <si>
    <t>Christopher Rodriguez</t>
  </si>
  <si>
    <t>1024</t>
  </si>
  <si>
    <t>Jessica Martinez</t>
  </si>
  <si>
    <t>1026</t>
  </si>
  <si>
    <t>Sarah Smith</t>
  </si>
  <si>
    <t>1027</t>
  </si>
  <si>
    <t>Matthew Johnson</t>
  </si>
  <si>
    <t>1028</t>
  </si>
  <si>
    <t>Emily Davis</t>
  </si>
  <si>
    <t>1029</t>
  </si>
  <si>
    <t>Daniel Wilson</t>
  </si>
  <si>
    <t>1030</t>
  </si>
  <si>
    <t>Jennifer Martinez</t>
  </si>
  <si>
    <t>1031</t>
  </si>
  <si>
    <t>Michael Smith</t>
  </si>
  <si>
    <t>1032</t>
  </si>
  <si>
    <t>Jessica Johnson</t>
  </si>
  <si>
    <t>1033</t>
  </si>
  <si>
    <t>David Brown</t>
  </si>
  <si>
    <t>1034</t>
  </si>
  <si>
    <t>Sarah Garcia</t>
  </si>
  <si>
    <t>1035</t>
  </si>
  <si>
    <t>Matthew Hernandez</t>
  </si>
  <si>
    <t>1036</t>
  </si>
  <si>
    <t>Emily Rodriguez</t>
  </si>
  <si>
    <t>1037</t>
  </si>
  <si>
    <t>Daniel Davis</t>
  </si>
  <si>
    <t>1038</t>
  </si>
  <si>
    <t>Jennifer Smith</t>
  </si>
  <si>
    <t>1042</t>
  </si>
  <si>
    <t>Sarah Johnson</t>
  </si>
  <si>
    <t>1043</t>
  </si>
  <si>
    <t>Matthew Garcia</t>
  </si>
  <si>
    <t>1045</t>
  </si>
  <si>
    <t>Daniel Hernandez</t>
  </si>
  <si>
    <t>1047</t>
  </si>
  <si>
    <t>Michael Martinez</t>
  </si>
  <si>
    <t>1048</t>
  </si>
  <si>
    <t>Jessica Wilson</t>
  </si>
  <si>
    <t>1049</t>
  </si>
  <si>
    <t>David Rodriguez</t>
  </si>
  <si>
    <t>1050</t>
  </si>
  <si>
    <t>Sarah Gonzalez</t>
  </si>
  <si>
    <t>1051</t>
  </si>
  <si>
    <t>Matthew Smith</t>
  </si>
  <si>
    <t>1052</t>
  </si>
  <si>
    <t>Emily Johnson</t>
  </si>
  <si>
    <t>1053</t>
  </si>
  <si>
    <t>Daniel Brown</t>
  </si>
  <si>
    <t>1054</t>
  </si>
  <si>
    <t>Jennifer Hernandez</t>
  </si>
  <si>
    <t>1055</t>
  </si>
  <si>
    <t>Michael Davis</t>
  </si>
  <si>
    <t>1056</t>
  </si>
  <si>
    <t>Jessica Smith</t>
  </si>
  <si>
    <t>1057</t>
  </si>
  <si>
    <t>David Martinez</t>
  </si>
  <si>
    <t>tax =</t>
  </si>
  <si>
    <t>round off</t>
  </si>
  <si>
    <t>dates to reaches parcel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</si>
</sst>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7276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4" fontId="2" fillId="0" borderId="1" xfId="0" applyNumberFormat="1" applyFont="1" applyBorder="1" applyAlignment="1">
      <alignment vertical="center"/>
    </xf>
    <xf numFmtId="0" fontId="0" fillId="0" borderId="0" xfId="0" applyAlignment="1">
      <alignment horizontal="left"/>
    </xf>
    <xf numFmtId="0" fontId="3" fillId="3" borderId="0" xfId="0" applyFont="1" applyFill="1" applyAlignment="1">
      <alignment horizontal="right"/>
    </xf>
    <xf numFmtId="2" fontId="2" fillId="0" borderId="1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2"/>
  <sheetViews>
    <sheetView tabSelected="1" topLeftCell="B1" workbookViewId="0">
      <selection activeCell="E52" sqref="E52"/>
    </sheetView>
  </sheetViews>
  <sheetFormatPr defaultRowHeight="14.4" x14ac:dyDescent="0.3"/>
  <cols>
    <col min="2" max="2" width="11.44140625" bestFit="1" customWidth="1"/>
    <col min="3" max="3" width="19.109375" bestFit="1" customWidth="1"/>
    <col min="4" max="4" width="10" bestFit="1" customWidth="1"/>
    <col min="5" max="5" width="17.44140625" bestFit="1" customWidth="1"/>
    <col min="6" max="6" width="15.33203125" bestFit="1" customWidth="1"/>
    <col min="7" max="7" width="10" bestFit="1" customWidth="1"/>
    <col min="8" max="8" width="11.5546875" bestFit="1" customWidth="1"/>
    <col min="10" max="10" width="22.88671875" bestFit="1" customWidth="1"/>
  </cols>
  <sheetData>
    <row r="1" spans="1:16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111</v>
      </c>
      <c r="J1" s="2" t="s">
        <v>112</v>
      </c>
      <c r="O1" s="6" t="s">
        <v>110</v>
      </c>
      <c r="P1" s="5">
        <v>18</v>
      </c>
    </row>
    <row r="2" spans="1:16" x14ac:dyDescent="0.3">
      <c r="A2" s="3" t="s">
        <v>8</v>
      </c>
      <c r="B2" s="4">
        <v>45292</v>
      </c>
      <c r="C2" s="3" t="s">
        <v>9</v>
      </c>
      <c r="D2" s="4">
        <v>45294</v>
      </c>
      <c r="E2" s="7">
        <v>49.99</v>
      </c>
      <c r="F2" s="3">
        <v>2</v>
      </c>
      <c r="G2" s="3">
        <f>((18*(E2*F2))/100)</f>
        <v>17.996400000000001</v>
      </c>
      <c r="H2" s="3">
        <f>E2*F2+G2</f>
        <v>117.97640000000001</v>
      </c>
      <c r="I2">
        <f>ROUND(H2,0)</f>
        <v>118</v>
      </c>
      <c r="J2">
        <f>D2-B2</f>
        <v>2</v>
      </c>
    </row>
    <row r="3" spans="1:16" x14ac:dyDescent="0.3">
      <c r="A3" s="3" t="s">
        <v>10</v>
      </c>
      <c r="B3" s="4">
        <v>45292</v>
      </c>
      <c r="C3" s="3" t="s">
        <v>11</v>
      </c>
      <c r="D3" s="4">
        <v>45295</v>
      </c>
      <c r="E3" s="3">
        <v>29.99</v>
      </c>
      <c r="F3" s="3">
        <v>1</v>
      </c>
      <c r="G3" s="3">
        <f>((18*(E3*F3))/100)</f>
        <v>5.3981999999999992</v>
      </c>
      <c r="H3" s="3">
        <f>E3*F3+G3</f>
        <v>35.388199999999998</v>
      </c>
      <c r="I3">
        <f>ROUND(H3,0)</f>
        <v>35</v>
      </c>
      <c r="J3">
        <f>D3-B3</f>
        <v>3</v>
      </c>
    </row>
    <row r="4" spans="1:16" x14ac:dyDescent="0.3">
      <c r="A4" s="3" t="s">
        <v>12</v>
      </c>
      <c r="B4" s="4">
        <v>45293</v>
      </c>
      <c r="C4" s="3" t="s">
        <v>13</v>
      </c>
      <c r="D4" s="4">
        <v>45298</v>
      </c>
      <c r="E4" s="3">
        <v>99.99</v>
      </c>
      <c r="F4" s="3">
        <v>3</v>
      </c>
      <c r="G4" s="3">
        <f>((18*(E4*F4))/100)</f>
        <v>53.994599999999991</v>
      </c>
      <c r="H4" s="3">
        <f>E4*F4+G4</f>
        <v>353.96459999999996</v>
      </c>
      <c r="I4">
        <f>ROUND(H4,0)</f>
        <v>354</v>
      </c>
      <c r="J4">
        <f>D4-B4</f>
        <v>5</v>
      </c>
    </row>
    <row r="5" spans="1:16" x14ac:dyDescent="0.3">
      <c r="A5" s="3" t="s">
        <v>14</v>
      </c>
      <c r="B5" s="4">
        <v>45293</v>
      </c>
      <c r="C5" s="3" t="s">
        <v>15</v>
      </c>
      <c r="D5" s="4">
        <v>45294</v>
      </c>
      <c r="E5" s="3">
        <v>19.989999999999998</v>
      </c>
      <c r="F5" s="3">
        <v>4</v>
      </c>
      <c r="G5" s="3">
        <f>((18*(E5*F5))/100)</f>
        <v>14.392799999999999</v>
      </c>
      <c r="H5" s="3">
        <f>E5*F5+G5</f>
        <v>94.352799999999988</v>
      </c>
      <c r="I5">
        <f>ROUND(H5,0)</f>
        <v>94</v>
      </c>
      <c r="J5">
        <f>D5-B5</f>
        <v>1</v>
      </c>
    </row>
    <row r="6" spans="1:16" x14ac:dyDescent="0.3">
      <c r="A6" s="3" t="s">
        <v>16</v>
      </c>
      <c r="B6" s="4">
        <v>45294</v>
      </c>
      <c r="C6" s="3" t="s">
        <v>17</v>
      </c>
      <c r="D6" s="4">
        <v>45299</v>
      </c>
      <c r="E6" s="3">
        <v>149.99</v>
      </c>
      <c r="F6" s="3">
        <v>1</v>
      </c>
      <c r="G6" s="3">
        <f>((18*(E6*F6))/100)</f>
        <v>26.998200000000001</v>
      </c>
      <c r="H6" s="3">
        <f>E6*F6+G6</f>
        <v>176.98820000000001</v>
      </c>
      <c r="I6">
        <f>ROUND(H6,0)</f>
        <v>177</v>
      </c>
      <c r="J6">
        <f>D6-B6</f>
        <v>5</v>
      </c>
    </row>
    <row r="7" spans="1:16" x14ac:dyDescent="0.3">
      <c r="A7" s="3" t="s">
        <v>18</v>
      </c>
      <c r="B7" s="4">
        <v>45294</v>
      </c>
      <c r="C7" s="3" t="s">
        <v>19</v>
      </c>
      <c r="D7" s="4">
        <v>45297</v>
      </c>
      <c r="E7" s="3">
        <v>79.989999999999995</v>
      </c>
      <c r="F7" s="3">
        <v>2</v>
      </c>
      <c r="G7" s="3">
        <f>((18*(E7*F7))/100)</f>
        <v>28.796399999999998</v>
      </c>
      <c r="H7" s="3">
        <f>E7*F7+G7</f>
        <v>188.7764</v>
      </c>
      <c r="I7">
        <f>ROUND(H7,0)</f>
        <v>189</v>
      </c>
      <c r="J7">
        <f>D7-B7</f>
        <v>3</v>
      </c>
    </row>
    <row r="8" spans="1:16" x14ac:dyDescent="0.3">
      <c r="A8" s="3" t="s">
        <v>20</v>
      </c>
      <c r="B8" s="4">
        <v>45295</v>
      </c>
      <c r="C8" s="3" t="s">
        <v>21</v>
      </c>
      <c r="D8" s="4">
        <v>45297</v>
      </c>
      <c r="E8" s="3">
        <v>39.99</v>
      </c>
      <c r="F8" s="3">
        <v>3</v>
      </c>
      <c r="G8" s="3">
        <f>((18*(E8*F8))/100)</f>
        <v>21.5946</v>
      </c>
      <c r="H8" s="3">
        <f>E8*F8+G8</f>
        <v>141.56459999999998</v>
      </c>
      <c r="I8">
        <f>ROUND(H8,0)</f>
        <v>142</v>
      </c>
      <c r="J8">
        <f>D8-B8</f>
        <v>2</v>
      </c>
    </row>
    <row r="9" spans="1:16" x14ac:dyDescent="0.3">
      <c r="A9" s="3" t="s">
        <v>22</v>
      </c>
      <c r="B9" s="4">
        <v>45295</v>
      </c>
      <c r="C9" s="3" t="s">
        <v>23</v>
      </c>
      <c r="D9" s="4">
        <v>45300</v>
      </c>
      <c r="E9" s="3">
        <v>69.989999999999995</v>
      </c>
      <c r="F9" s="3">
        <v>2</v>
      </c>
      <c r="G9" s="3">
        <f>((18*(E9*F9))/100)</f>
        <v>25.196399999999997</v>
      </c>
      <c r="H9" s="3">
        <f>E9*F9+G9</f>
        <v>165.1764</v>
      </c>
      <c r="I9">
        <f>ROUND(H9,0)</f>
        <v>165</v>
      </c>
      <c r="J9">
        <f>D9-B9</f>
        <v>5</v>
      </c>
    </row>
    <row r="10" spans="1:16" x14ac:dyDescent="0.3">
      <c r="A10" s="3" t="s">
        <v>24</v>
      </c>
      <c r="B10" s="4">
        <v>45296</v>
      </c>
      <c r="C10" s="3" t="s">
        <v>25</v>
      </c>
      <c r="D10" s="4">
        <v>45297</v>
      </c>
      <c r="E10" s="3">
        <v>89.99</v>
      </c>
      <c r="F10" s="3">
        <v>1</v>
      </c>
      <c r="G10" s="3">
        <f>((18*(E10*F10))/100)</f>
        <v>16.1982</v>
      </c>
      <c r="H10" s="3">
        <f>E10*F10+G10</f>
        <v>106.18819999999999</v>
      </c>
      <c r="I10">
        <f>ROUND(H10,0)</f>
        <v>106</v>
      </c>
      <c r="J10">
        <f>D10-B10</f>
        <v>1</v>
      </c>
    </row>
    <row r="11" spans="1:16" x14ac:dyDescent="0.3">
      <c r="A11" s="3" t="s">
        <v>26</v>
      </c>
      <c r="B11" s="4">
        <v>45296</v>
      </c>
      <c r="C11" s="3" t="s">
        <v>27</v>
      </c>
      <c r="D11" s="4">
        <v>45299</v>
      </c>
      <c r="E11" s="3">
        <v>199.99</v>
      </c>
      <c r="F11" s="3">
        <v>1</v>
      </c>
      <c r="G11" s="3">
        <f>((18*(E11*F11))/100)</f>
        <v>35.998200000000004</v>
      </c>
      <c r="H11" s="3">
        <f>E11*F11+G11</f>
        <v>235.98820000000001</v>
      </c>
      <c r="I11">
        <f>ROUND(H11,0)</f>
        <v>236</v>
      </c>
      <c r="J11">
        <f>D11-B11</f>
        <v>3</v>
      </c>
    </row>
    <row r="12" spans="1:16" x14ac:dyDescent="0.3">
      <c r="A12" s="3" t="s">
        <v>28</v>
      </c>
      <c r="B12" s="4">
        <v>45297</v>
      </c>
      <c r="C12" s="3" t="s">
        <v>29</v>
      </c>
      <c r="D12" s="4">
        <v>45298</v>
      </c>
      <c r="E12" s="3">
        <v>29.99</v>
      </c>
      <c r="F12" s="3">
        <v>5</v>
      </c>
      <c r="G12" s="3">
        <f>((18*(E12*F12))/100)</f>
        <v>26.991</v>
      </c>
      <c r="H12" s="3">
        <f>E12*F12+G12</f>
        <v>176.94099999999997</v>
      </c>
      <c r="I12">
        <f>ROUND(H12,0)</f>
        <v>177</v>
      </c>
      <c r="J12">
        <f>D12-B12</f>
        <v>1</v>
      </c>
    </row>
    <row r="13" spans="1:16" x14ac:dyDescent="0.3">
      <c r="A13" s="3" t="s">
        <v>30</v>
      </c>
      <c r="B13" s="4">
        <v>45297</v>
      </c>
      <c r="C13" s="3" t="s">
        <v>31</v>
      </c>
      <c r="D13" s="4">
        <v>45299</v>
      </c>
      <c r="E13" s="3">
        <v>79.989999999999995</v>
      </c>
      <c r="F13" s="3">
        <v>2</v>
      </c>
      <c r="G13" s="3">
        <f>((18*(E13*F13))/100)</f>
        <v>28.796399999999998</v>
      </c>
      <c r="H13" s="3">
        <f>E13*F13+G13</f>
        <v>188.7764</v>
      </c>
      <c r="I13">
        <f>ROUND(H13,0)</f>
        <v>189</v>
      </c>
      <c r="J13">
        <f>D13-B13</f>
        <v>2</v>
      </c>
    </row>
    <row r="14" spans="1:16" x14ac:dyDescent="0.3">
      <c r="A14" s="3" t="s">
        <v>32</v>
      </c>
      <c r="B14" s="4">
        <v>45298</v>
      </c>
      <c r="C14" s="3" t="s">
        <v>33</v>
      </c>
      <c r="D14" s="4">
        <v>45300</v>
      </c>
      <c r="E14" s="3">
        <v>49.99</v>
      </c>
      <c r="F14" s="3">
        <v>3</v>
      </c>
      <c r="G14" s="3">
        <f>((18*(E14*F14))/100)</f>
        <v>26.994600000000002</v>
      </c>
      <c r="H14" s="3">
        <f>E14*F14+G14</f>
        <v>176.96459999999999</v>
      </c>
      <c r="I14">
        <f>ROUND(H14,0)</f>
        <v>177</v>
      </c>
      <c r="J14">
        <f>D14-B14</f>
        <v>2</v>
      </c>
    </row>
    <row r="15" spans="1:16" x14ac:dyDescent="0.3">
      <c r="A15" s="3" t="s">
        <v>34</v>
      </c>
      <c r="B15" s="4">
        <v>45298</v>
      </c>
      <c r="C15" s="3" t="s">
        <v>35</v>
      </c>
      <c r="D15" s="4">
        <v>45303</v>
      </c>
      <c r="E15" s="3">
        <v>129.99</v>
      </c>
      <c r="F15" s="3">
        <v>1</v>
      </c>
      <c r="G15" s="3">
        <f>((18*(E15*F15))/100)</f>
        <v>23.398200000000003</v>
      </c>
      <c r="H15" s="3">
        <f>E15*F15+G15</f>
        <v>153.38820000000001</v>
      </c>
      <c r="I15">
        <f>ROUND(H15,0)</f>
        <v>153</v>
      </c>
      <c r="J15">
        <f>D15-B15</f>
        <v>5</v>
      </c>
    </row>
    <row r="16" spans="1:16" x14ac:dyDescent="0.3">
      <c r="A16" s="3" t="s">
        <v>36</v>
      </c>
      <c r="B16" s="4">
        <v>45299</v>
      </c>
      <c r="C16" s="3" t="s">
        <v>37</v>
      </c>
      <c r="D16" s="4">
        <v>45304</v>
      </c>
      <c r="E16" s="3">
        <v>19.989999999999998</v>
      </c>
      <c r="F16" s="3">
        <v>4</v>
      </c>
      <c r="G16" s="3">
        <f>((18*(E16*F16))/100)</f>
        <v>14.392799999999999</v>
      </c>
      <c r="H16" s="3">
        <f>E16*F16+G16</f>
        <v>94.352799999999988</v>
      </c>
      <c r="I16">
        <f>ROUND(H16,0)</f>
        <v>94</v>
      </c>
      <c r="J16">
        <f>D16-B16</f>
        <v>5</v>
      </c>
    </row>
    <row r="17" spans="1:10" x14ac:dyDescent="0.3">
      <c r="A17" s="3" t="s">
        <v>38</v>
      </c>
      <c r="B17" s="4">
        <v>45299</v>
      </c>
      <c r="C17" s="3" t="s">
        <v>39</v>
      </c>
      <c r="D17" s="4">
        <v>45303</v>
      </c>
      <c r="E17" s="3">
        <v>149.99</v>
      </c>
      <c r="F17" s="3">
        <v>1</v>
      </c>
      <c r="G17" s="3">
        <f>((18*(E17*F17))/100)</f>
        <v>26.998200000000001</v>
      </c>
      <c r="H17" s="3">
        <f>E17*F17+G17</f>
        <v>176.98820000000001</v>
      </c>
      <c r="I17">
        <f>ROUND(H17,0)</f>
        <v>177</v>
      </c>
      <c r="J17">
        <f>D17-B17</f>
        <v>4</v>
      </c>
    </row>
    <row r="18" spans="1:10" x14ac:dyDescent="0.3">
      <c r="A18" s="3" t="s">
        <v>40</v>
      </c>
      <c r="B18" s="4">
        <v>45300</v>
      </c>
      <c r="C18" s="3" t="s">
        <v>41</v>
      </c>
      <c r="D18" s="4">
        <v>45305</v>
      </c>
      <c r="E18" s="3">
        <v>69.989999999999995</v>
      </c>
      <c r="F18" s="3">
        <v>2</v>
      </c>
      <c r="G18" s="3">
        <f>((18*(E18*F18))/100)</f>
        <v>25.196399999999997</v>
      </c>
      <c r="H18" s="3">
        <f>E18*F18+G18</f>
        <v>165.1764</v>
      </c>
      <c r="I18">
        <f>ROUND(H18,0)</f>
        <v>165</v>
      </c>
      <c r="J18">
        <f>D18-B18</f>
        <v>5</v>
      </c>
    </row>
    <row r="19" spans="1:10" x14ac:dyDescent="0.3">
      <c r="A19" s="3" t="s">
        <v>42</v>
      </c>
      <c r="B19" s="4">
        <v>45300</v>
      </c>
      <c r="C19" s="3" t="s">
        <v>43</v>
      </c>
      <c r="D19" s="4">
        <v>45303</v>
      </c>
      <c r="E19" s="3">
        <v>39.99</v>
      </c>
      <c r="F19" s="3">
        <v>3</v>
      </c>
      <c r="G19" s="3">
        <f>((18*(E19*F19))/100)</f>
        <v>21.5946</v>
      </c>
      <c r="H19" s="3">
        <f>E19*F19+G19</f>
        <v>141.56459999999998</v>
      </c>
      <c r="I19">
        <f>ROUND(H19,0)</f>
        <v>142</v>
      </c>
      <c r="J19">
        <f>D19-B19</f>
        <v>3</v>
      </c>
    </row>
    <row r="20" spans="1:10" x14ac:dyDescent="0.3">
      <c r="A20" s="3" t="s">
        <v>44</v>
      </c>
      <c r="B20" s="4">
        <v>45301</v>
      </c>
      <c r="C20" s="3" t="s">
        <v>45</v>
      </c>
      <c r="D20" s="4">
        <v>45302</v>
      </c>
      <c r="E20" s="3">
        <v>199.99</v>
      </c>
      <c r="F20" s="3">
        <v>1</v>
      </c>
      <c r="G20" s="3">
        <f>((18*(E20*F20))/100)</f>
        <v>35.998200000000004</v>
      </c>
      <c r="H20" s="3">
        <f>E20*F20+G20</f>
        <v>235.98820000000001</v>
      </c>
      <c r="I20">
        <f>ROUND(H20,0)</f>
        <v>236</v>
      </c>
      <c r="J20">
        <f>D20-B20</f>
        <v>1</v>
      </c>
    </row>
    <row r="21" spans="1:10" x14ac:dyDescent="0.3">
      <c r="A21" s="3" t="s">
        <v>46</v>
      </c>
      <c r="B21" s="4">
        <v>45301</v>
      </c>
      <c r="C21" s="3" t="s">
        <v>47</v>
      </c>
      <c r="D21" s="4">
        <v>45305</v>
      </c>
      <c r="E21" s="3">
        <v>29.99</v>
      </c>
      <c r="F21" s="3">
        <v>5</v>
      </c>
      <c r="G21" s="3">
        <f>((18*(E21*F21))/100)</f>
        <v>26.991</v>
      </c>
      <c r="H21" s="3">
        <f>E21*F21+G21</f>
        <v>176.94099999999997</v>
      </c>
      <c r="I21">
        <f>ROUND(H21,0)</f>
        <v>177</v>
      </c>
      <c r="J21">
        <f>D21-B21</f>
        <v>4</v>
      </c>
    </row>
    <row r="22" spans="1:10" x14ac:dyDescent="0.3">
      <c r="A22" s="3" t="s">
        <v>48</v>
      </c>
      <c r="B22" s="4">
        <v>45302</v>
      </c>
      <c r="C22" s="3" t="s">
        <v>49</v>
      </c>
      <c r="D22" s="4">
        <v>45305</v>
      </c>
      <c r="E22" s="3">
        <v>79.989999999999995</v>
      </c>
      <c r="F22" s="3">
        <v>2</v>
      </c>
      <c r="G22" s="3">
        <f>((18*(E22*F22))/100)</f>
        <v>28.796399999999998</v>
      </c>
      <c r="H22" s="3">
        <f>E22*F22+G22</f>
        <v>188.7764</v>
      </c>
      <c r="I22">
        <f>ROUND(H22,0)</f>
        <v>189</v>
      </c>
      <c r="J22">
        <f>D22-B22</f>
        <v>3</v>
      </c>
    </row>
    <row r="23" spans="1:10" x14ac:dyDescent="0.3">
      <c r="A23" s="3" t="s">
        <v>50</v>
      </c>
      <c r="B23" s="4">
        <v>45302</v>
      </c>
      <c r="C23" s="3" t="s">
        <v>51</v>
      </c>
      <c r="D23" s="4">
        <v>45306</v>
      </c>
      <c r="E23" s="3">
        <v>49.99</v>
      </c>
      <c r="F23" s="3">
        <v>3</v>
      </c>
      <c r="G23" s="3">
        <f>((18*(E23*F23))/100)</f>
        <v>26.994600000000002</v>
      </c>
      <c r="H23" s="3">
        <f>E23*F23+G23</f>
        <v>176.96459999999999</v>
      </c>
      <c r="I23">
        <f>ROUND(H23,0)</f>
        <v>177</v>
      </c>
      <c r="J23">
        <f>D23-B23</f>
        <v>4</v>
      </c>
    </row>
    <row r="24" spans="1:10" x14ac:dyDescent="0.3">
      <c r="A24" s="3" t="s">
        <v>52</v>
      </c>
      <c r="B24" s="4">
        <v>45303</v>
      </c>
      <c r="C24" s="3" t="s">
        <v>53</v>
      </c>
      <c r="D24" s="4">
        <v>45308</v>
      </c>
      <c r="E24" s="3">
        <v>129.99</v>
      </c>
      <c r="F24" s="3">
        <v>1</v>
      </c>
      <c r="G24" s="3">
        <f>((18*(E24*F24))/100)</f>
        <v>23.398200000000003</v>
      </c>
      <c r="H24" s="3">
        <f>E24*F24+G24</f>
        <v>153.38820000000001</v>
      </c>
      <c r="I24">
        <f>ROUND(H24,0)</f>
        <v>153</v>
      </c>
      <c r="J24">
        <f>D24-B24</f>
        <v>5</v>
      </c>
    </row>
    <row r="25" spans="1:10" x14ac:dyDescent="0.3">
      <c r="A25" s="3" t="s">
        <v>54</v>
      </c>
      <c r="B25" s="4">
        <v>45303</v>
      </c>
      <c r="C25" s="3" t="s">
        <v>55</v>
      </c>
      <c r="D25" s="4">
        <v>45308</v>
      </c>
      <c r="E25" s="3">
        <v>19.989999999999998</v>
      </c>
      <c r="F25" s="3">
        <v>4</v>
      </c>
      <c r="G25" s="3">
        <f>((18*(E25*F25))/100)</f>
        <v>14.392799999999999</v>
      </c>
      <c r="H25" s="3">
        <f>E25*F25+G25</f>
        <v>94.352799999999988</v>
      </c>
      <c r="I25">
        <f>ROUND(H25,0)</f>
        <v>94</v>
      </c>
      <c r="J25">
        <f>D25-B25</f>
        <v>5</v>
      </c>
    </row>
    <row r="26" spans="1:10" x14ac:dyDescent="0.3">
      <c r="A26" s="3" t="s">
        <v>56</v>
      </c>
      <c r="B26" s="4">
        <v>45304</v>
      </c>
      <c r="C26" s="3" t="s">
        <v>57</v>
      </c>
      <c r="D26" s="4">
        <v>45305</v>
      </c>
      <c r="E26" s="3">
        <v>69.989999999999995</v>
      </c>
      <c r="F26" s="3">
        <v>2</v>
      </c>
      <c r="G26" s="3">
        <f>((18*(E26*F26))/100)</f>
        <v>25.196399999999997</v>
      </c>
      <c r="H26" s="3">
        <f>E26*F26+G26</f>
        <v>165.1764</v>
      </c>
      <c r="I26">
        <f>ROUND(H26,0)</f>
        <v>165</v>
      </c>
      <c r="J26">
        <f>D26-B26</f>
        <v>1</v>
      </c>
    </row>
    <row r="27" spans="1:10" x14ac:dyDescent="0.3">
      <c r="A27" s="3" t="s">
        <v>58</v>
      </c>
      <c r="B27" s="4">
        <v>45305</v>
      </c>
      <c r="C27" s="3" t="s">
        <v>59</v>
      </c>
      <c r="D27" s="4">
        <v>45309</v>
      </c>
      <c r="E27" s="3">
        <v>39.99</v>
      </c>
      <c r="F27" s="3">
        <v>3</v>
      </c>
      <c r="G27" s="3">
        <f>((18*(E27*F27))/100)</f>
        <v>21.5946</v>
      </c>
      <c r="H27" s="3">
        <f>E27*F27+G27</f>
        <v>141.56459999999998</v>
      </c>
      <c r="I27">
        <f>ROUND(H27,0)</f>
        <v>142</v>
      </c>
      <c r="J27">
        <f>D27-B27</f>
        <v>4</v>
      </c>
    </row>
    <row r="28" spans="1:10" x14ac:dyDescent="0.3">
      <c r="A28" s="3" t="s">
        <v>60</v>
      </c>
      <c r="B28" s="4">
        <v>45305</v>
      </c>
      <c r="C28" s="3" t="s">
        <v>61</v>
      </c>
      <c r="D28" s="4">
        <v>45310</v>
      </c>
      <c r="E28" s="3">
        <v>199.99</v>
      </c>
      <c r="F28" s="3">
        <v>1</v>
      </c>
      <c r="G28" s="3">
        <f>((18*(E28*F28))/100)</f>
        <v>35.998200000000004</v>
      </c>
      <c r="H28" s="3">
        <f>E28*F28+G28</f>
        <v>235.98820000000001</v>
      </c>
      <c r="I28">
        <f>ROUND(H28,0)</f>
        <v>236</v>
      </c>
      <c r="J28">
        <f>D28-B28</f>
        <v>5</v>
      </c>
    </row>
    <row r="29" spans="1:10" x14ac:dyDescent="0.3">
      <c r="A29" s="3" t="s">
        <v>62</v>
      </c>
      <c r="B29" s="4">
        <v>45306</v>
      </c>
      <c r="C29" s="3" t="s">
        <v>63</v>
      </c>
      <c r="D29" s="4">
        <v>45310</v>
      </c>
      <c r="E29" s="3">
        <v>29.99</v>
      </c>
      <c r="F29" s="3">
        <v>5</v>
      </c>
      <c r="G29" s="3">
        <f>((18*(E29*F29))/100)</f>
        <v>26.991</v>
      </c>
      <c r="H29" s="3">
        <f>E29*F29+G29</f>
        <v>176.94099999999997</v>
      </c>
      <c r="I29">
        <f>ROUND(H29,0)</f>
        <v>177</v>
      </c>
      <c r="J29">
        <f>D29-B29</f>
        <v>4</v>
      </c>
    </row>
    <row r="30" spans="1:10" x14ac:dyDescent="0.3">
      <c r="A30" s="3" t="s">
        <v>64</v>
      </c>
      <c r="B30" s="4">
        <v>45306</v>
      </c>
      <c r="C30" s="3" t="s">
        <v>65</v>
      </c>
      <c r="D30" s="4">
        <v>45310</v>
      </c>
      <c r="E30" s="3">
        <v>79.989999999999995</v>
      </c>
      <c r="F30" s="3">
        <v>2</v>
      </c>
      <c r="G30" s="3">
        <f>((18*(E30*F30))/100)</f>
        <v>28.796399999999998</v>
      </c>
      <c r="H30" s="3">
        <f>E30*F30+G30</f>
        <v>188.7764</v>
      </c>
      <c r="I30">
        <f>ROUND(H30,0)</f>
        <v>189</v>
      </c>
      <c r="J30">
        <f>D30-B30</f>
        <v>4</v>
      </c>
    </row>
    <row r="31" spans="1:10" x14ac:dyDescent="0.3">
      <c r="A31" s="3" t="s">
        <v>66</v>
      </c>
      <c r="B31" s="4">
        <v>45307</v>
      </c>
      <c r="C31" s="3" t="s">
        <v>67</v>
      </c>
      <c r="D31" s="4">
        <v>45310</v>
      </c>
      <c r="E31" s="3">
        <v>49.99</v>
      </c>
      <c r="F31" s="3">
        <v>3</v>
      </c>
      <c r="G31" s="3">
        <f>((18*(E31*F31))/100)</f>
        <v>26.994600000000002</v>
      </c>
      <c r="H31" s="3">
        <f>E31*F31+G31</f>
        <v>176.96459999999999</v>
      </c>
      <c r="I31">
        <f>ROUND(H31,0)</f>
        <v>177</v>
      </c>
      <c r="J31">
        <f>D31-B31</f>
        <v>3</v>
      </c>
    </row>
    <row r="32" spans="1:10" x14ac:dyDescent="0.3">
      <c r="A32" s="3" t="s">
        <v>68</v>
      </c>
      <c r="B32" s="4">
        <v>45307</v>
      </c>
      <c r="C32" s="3" t="s">
        <v>69</v>
      </c>
      <c r="D32" s="4">
        <v>45308</v>
      </c>
      <c r="E32" s="3">
        <v>129.99</v>
      </c>
      <c r="F32" s="3">
        <v>1</v>
      </c>
      <c r="G32" s="3">
        <f>((18*(E32*F32))/100)</f>
        <v>23.398200000000003</v>
      </c>
      <c r="H32" s="3">
        <f>E32*F32+G32</f>
        <v>153.38820000000001</v>
      </c>
      <c r="I32">
        <f>ROUND(H32,0)</f>
        <v>153</v>
      </c>
      <c r="J32">
        <f>D32-B32</f>
        <v>1</v>
      </c>
    </row>
    <row r="33" spans="1:10" x14ac:dyDescent="0.3">
      <c r="A33" s="3" t="s">
        <v>70</v>
      </c>
      <c r="B33" s="4">
        <v>45308</v>
      </c>
      <c r="C33" s="3" t="s">
        <v>71</v>
      </c>
      <c r="D33" s="4">
        <v>45310</v>
      </c>
      <c r="E33" s="3">
        <v>19.989999999999998</v>
      </c>
      <c r="F33" s="3">
        <v>4</v>
      </c>
      <c r="G33" s="3">
        <f>((18*(E33*F33))/100)</f>
        <v>14.392799999999999</v>
      </c>
      <c r="H33" s="3">
        <f>E33*F33+G33</f>
        <v>94.352799999999988</v>
      </c>
      <c r="I33">
        <f>ROUND(H33,0)</f>
        <v>94</v>
      </c>
      <c r="J33">
        <f>D33-B33</f>
        <v>2</v>
      </c>
    </row>
    <row r="34" spans="1:10" x14ac:dyDescent="0.3">
      <c r="A34" s="3" t="s">
        <v>72</v>
      </c>
      <c r="B34" s="4">
        <v>45308</v>
      </c>
      <c r="C34" s="3" t="s">
        <v>73</v>
      </c>
      <c r="D34" s="4">
        <v>45310</v>
      </c>
      <c r="E34" s="3">
        <v>149.99</v>
      </c>
      <c r="F34" s="3">
        <v>1</v>
      </c>
      <c r="G34" s="3">
        <f>((18*(E34*F34))/100)</f>
        <v>26.998200000000001</v>
      </c>
      <c r="H34" s="3">
        <f>E34*F34+G34</f>
        <v>176.98820000000001</v>
      </c>
      <c r="I34">
        <f>ROUND(H34,0)</f>
        <v>177</v>
      </c>
      <c r="J34">
        <f>D34-B34</f>
        <v>2</v>
      </c>
    </row>
    <row r="35" spans="1:10" x14ac:dyDescent="0.3">
      <c r="A35" s="3" t="s">
        <v>74</v>
      </c>
      <c r="B35" s="4">
        <v>45309</v>
      </c>
      <c r="C35" s="3" t="s">
        <v>75</v>
      </c>
      <c r="D35" s="4">
        <v>45314</v>
      </c>
      <c r="E35" s="3">
        <v>69.989999999999995</v>
      </c>
      <c r="F35" s="3">
        <v>2</v>
      </c>
      <c r="G35" s="3">
        <f>((18*(E35*F35))/100)</f>
        <v>25.196399999999997</v>
      </c>
      <c r="H35" s="3">
        <f>E35*F35+G35</f>
        <v>165.1764</v>
      </c>
      <c r="I35">
        <f>ROUND(H35,0)</f>
        <v>165</v>
      </c>
      <c r="J35">
        <f>D35-B35</f>
        <v>5</v>
      </c>
    </row>
    <row r="36" spans="1:10" x14ac:dyDescent="0.3">
      <c r="A36" s="3" t="s">
        <v>76</v>
      </c>
      <c r="B36" s="4">
        <v>45309</v>
      </c>
      <c r="C36" s="3" t="s">
        <v>77</v>
      </c>
      <c r="D36" s="4">
        <v>45310</v>
      </c>
      <c r="E36" s="3">
        <v>39.99</v>
      </c>
      <c r="F36" s="3">
        <v>3</v>
      </c>
      <c r="G36" s="3">
        <f>((18*(E36*F36))/100)</f>
        <v>21.5946</v>
      </c>
      <c r="H36" s="3">
        <f>E36*F36+G36</f>
        <v>141.56459999999998</v>
      </c>
      <c r="I36">
        <f>ROUND(H36,0)</f>
        <v>142</v>
      </c>
      <c r="J36">
        <f>D36-B36</f>
        <v>1</v>
      </c>
    </row>
    <row r="37" spans="1:10" x14ac:dyDescent="0.3">
      <c r="A37" s="3" t="s">
        <v>78</v>
      </c>
      <c r="B37" s="4">
        <v>45310</v>
      </c>
      <c r="C37" s="3" t="s">
        <v>79</v>
      </c>
      <c r="D37" s="4">
        <v>45311</v>
      </c>
      <c r="E37" s="3">
        <v>199.99</v>
      </c>
      <c r="F37" s="3">
        <v>1</v>
      </c>
      <c r="G37" s="3">
        <f>((18*(E37*F37))/100)</f>
        <v>35.998200000000004</v>
      </c>
      <c r="H37" s="3">
        <f>E37*F37+G37</f>
        <v>235.98820000000001</v>
      </c>
      <c r="I37">
        <f>ROUND(H37,0)</f>
        <v>236</v>
      </c>
      <c r="J37">
        <f>D37-B37</f>
        <v>1</v>
      </c>
    </row>
    <row r="38" spans="1:10" x14ac:dyDescent="0.3">
      <c r="A38" s="3" t="s">
        <v>80</v>
      </c>
      <c r="B38" s="4">
        <v>45310</v>
      </c>
      <c r="C38" s="3" t="s">
        <v>81</v>
      </c>
      <c r="D38" s="4">
        <v>45313</v>
      </c>
      <c r="E38" s="3">
        <v>29.99</v>
      </c>
      <c r="F38" s="3">
        <v>5</v>
      </c>
      <c r="G38" s="3">
        <f>((18*(E38*F38))/100)</f>
        <v>26.991</v>
      </c>
      <c r="H38" s="3">
        <f>E38*F38+G38</f>
        <v>176.94099999999997</v>
      </c>
      <c r="I38">
        <f>ROUND(H38,0)</f>
        <v>177</v>
      </c>
      <c r="J38">
        <f>D38-B38</f>
        <v>3</v>
      </c>
    </row>
    <row r="39" spans="1:10" x14ac:dyDescent="0.3">
      <c r="A39" s="3" t="s">
        <v>82</v>
      </c>
      <c r="B39" s="4">
        <v>45312</v>
      </c>
      <c r="C39" s="3" t="s">
        <v>83</v>
      </c>
      <c r="D39" s="4">
        <v>45314</v>
      </c>
      <c r="E39" s="3">
        <v>19.989999999999998</v>
      </c>
      <c r="F39" s="3">
        <v>4</v>
      </c>
      <c r="G39" s="3">
        <f>((18*(E39*F39))/100)</f>
        <v>14.392799999999999</v>
      </c>
      <c r="H39" s="3">
        <f>E39*F39+G39</f>
        <v>94.352799999999988</v>
      </c>
      <c r="I39">
        <f>ROUND(H39,0)</f>
        <v>94</v>
      </c>
      <c r="J39">
        <f>D39-B39</f>
        <v>2</v>
      </c>
    </row>
    <row r="40" spans="1:10" x14ac:dyDescent="0.3">
      <c r="A40" s="3" t="s">
        <v>84</v>
      </c>
      <c r="B40" s="4">
        <v>45313</v>
      </c>
      <c r="C40" s="3" t="s">
        <v>85</v>
      </c>
      <c r="D40" s="4">
        <v>45316</v>
      </c>
      <c r="E40" s="3">
        <v>149.99</v>
      </c>
      <c r="F40" s="3">
        <v>1</v>
      </c>
      <c r="G40" s="3">
        <f>((18*(E40*F40))/100)</f>
        <v>26.998200000000001</v>
      </c>
      <c r="H40" s="3">
        <f>E40*F40+G40</f>
        <v>176.98820000000001</v>
      </c>
      <c r="I40">
        <f>ROUND(H40,0)</f>
        <v>177</v>
      </c>
      <c r="J40">
        <f>D40-B40</f>
        <v>3</v>
      </c>
    </row>
    <row r="41" spans="1:10" x14ac:dyDescent="0.3">
      <c r="A41" s="3" t="s">
        <v>86</v>
      </c>
      <c r="B41" s="4">
        <v>45314</v>
      </c>
      <c r="C41" s="3" t="s">
        <v>87</v>
      </c>
      <c r="D41" s="4">
        <v>45318</v>
      </c>
      <c r="E41" s="3">
        <v>39.99</v>
      </c>
      <c r="F41" s="3">
        <v>3</v>
      </c>
      <c r="G41" s="3">
        <f>((18*(E41*F41))/100)</f>
        <v>21.5946</v>
      </c>
      <c r="H41" s="3">
        <f>E41*F41+G41</f>
        <v>141.56459999999998</v>
      </c>
      <c r="I41">
        <f>ROUND(H41,0)</f>
        <v>142</v>
      </c>
      <c r="J41">
        <f>D41-B41</f>
        <v>4</v>
      </c>
    </row>
    <row r="42" spans="1:10" x14ac:dyDescent="0.3">
      <c r="A42" s="3" t="s">
        <v>88</v>
      </c>
      <c r="B42" s="4">
        <v>45315</v>
      </c>
      <c r="C42" s="3" t="s">
        <v>89</v>
      </c>
      <c r="D42" s="4">
        <v>45316</v>
      </c>
      <c r="E42" s="3">
        <v>29.99</v>
      </c>
      <c r="F42" s="3">
        <v>5</v>
      </c>
      <c r="G42" s="3">
        <f>((18*(E42*F42))/100)</f>
        <v>26.991</v>
      </c>
      <c r="H42" s="3">
        <f>E42*F42+G42</f>
        <v>176.94099999999997</v>
      </c>
      <c r="I42">
        <f>ROUND(H42,0)</f>
        <v>177</v>
      </c>
      <c r="J42">
        <f>D42-B42</f>
        <v>1</v>
      </c>
    </row>
    <row r="43" spans="1:10" x14ac:dyDescent="0.3">
      <c r="A43" s="3" t="s">
        <v>90</v>
      </c>
      <c r="B43" s="4">
        <v>45315</v>
      </c>
      <c r="C43" s="3" t="s">
        <v>91</v>
      </c>
      <c r="D43" s="4">
        <v>45317</v>
      </c>
      <c r="E43" s="3">
        <v>79.989999999999995</v>
      </c>
      <c r="F43" s="3">
        <v>2</v>
      </c>
      <c r="G43" s="3">
        <f>((18*(E43*F43))/100)</f>
        <v>28.796399999999998</v>
      </c>
      <c r="H43" s="3">
        <f>E43*F43+G43</f>
        <v>188.7764</v>
      </c>
      <c r="I43">
        <f>ROUND(H43,0)</f>
        <v>189</v>
      </c>
      <c r="J43">
        <f>D43-B43</f>
        <v>2</v>
      </c>
    </row>
    <row r="44" spans="1:10" x14ac:dyDescent="0.3">
      <c r="A44" s="3" t="s">
        <v>92</v>
      </c>
      <c r="B44" s="4">
        <v>45316</v>
      </c>
      <c r="C44" s="3" t="s">
        <v>93</v>
      </c>
      <c r="D44" s="4">
        <v>45321</v>
      </c>
      <c r="E44" s="3">
        <v>49.99</v>
      </c>
      <c r="F44" s="3">
        <v>3</v>
      </c>
      <c r="G44" s="3">
        <f>((18*(E44*F44))/100)</f>
        <v>26.994600000000002</v>
      </c>
      <c r="H44" s="3">
        <f>E44*F44+G44</f>
        <v>176.96459999999999</v>
      </c>
      <c r="I44">
        <f>ROUND(H44,0)</f>
        <v>177</v>
      </c>
      <c r="J44">
        <f>D44-B44</f>
        <v>5</v>
      </c>
    </row>
    <row r="45" spans="1:10" x14ac:dyDescent="0.3">
      <c r="A45" s="3" t="s">
        <v>94</v>
      </c>
      <c r="B45" s="4">
        <v>45316</v>
      </c>
      <c r="C45" s="3" t="s">
        <v>95</v>
      </c>
      <c r="D45" s="4">
        <v>45318</v>
      </c>
      <c r="E45" s="3">
        <v>129.99</v>
      </c>
      <c r="F45" s="3">
        <v>1</v>
      </c>
      <c r="G45" s="3">
        <f>((18*(E45*F45))/100)</f>
        <v>23.398200000000003</v>
      </c>
      <c r="H45" s="3">
        <f>E45*F45+G45</f>
        <v>153.38820000000001</v>
      </c>
      <c r="I45">
        <f>ROUND(H45,0)</f>
        <v>153</v>
      </c>
      <c r="J45">
        <f>D45-B45</f>
        <v>2</v>
      </c>
    </row>
    <row r="46" spans="1:10" x14ac:dyDescent="0.3">
      <c r="A46" s="3" t="s">
        <v>96</v>
      </c>
      <c r="B46" s="4">
        <v>45317</v>
      </c>
      <c r="C46" s="3" t="s">
        <v>97</v>
      </c>
      <c r="D46" s="4">
        <v>45320</v>
      </c>
      <c r="E46" s="3">
        <v>19.989999999999998</v>
      </c>
      <c r="F46" s="3">
        <v>4</v>
      </c>
      <c r="G46" s="3">
        <f>((18*(E46*F46))/100)</f>
        <v>14.392799999999999</v>
      </c>
      <c r="H46" s="3">
        <f>E46*F46+G46</f>
        <v>94.352799999999988</v>
      </c>
      <c r="I46">
        <f>ROUND(H46,0)</f>
        <v>94</v>
      </c>
      <c r="J46">
        <f>D46-B46</f>
        <v>3</v>
      </c>
    </row>
    <row r="47" spans="1:10" x14ac:dyDescent="0.3">
      <c r="A47" s="3" t="s">
        <v>98</v>
      </c>
      <c r="B47" s="4">
        <v>45317</v>
      </c>
      <c r="C47" s="3" t="s">
        <v>99</v>
      </c>
      <c r="D47" s="4">
        <v>45319</v>
      </c>
      <c r="E47" s="3">
        <v>149.99</v>
      </c>
      <c r="F47" s="3">
        <v>1</v>
      </c>
      <c r="G47" s="3">
        <f>((18*(E47*F47))/100)</f>
        <v>26.998200000000001</v>
      </c>
      <c r="H47" s="3">
        <f>E47*F47+G47</f>
        <v>176.98820000000001</v>
      </c>
      <c r="I47">
        <f>ROUND(H47,0)</f>
        <v>177</v>
      </c>
      <c r="J47">
        <f>D47-B47</f>
        <v>2</v>
      </c>
    </row>
    <row r="48" spans="1:10" x14ac:dyDescent="0.3">
      <c r="A48" s="3" t="s">
        <v>100</v>
      </c>
      <c r="B48" s="4">
        <v>45318</v>
      </c>
      <c r="C48" s="3" t="s">
        <v>101</v>
      </c>
      <c r="D48" s="4">
        <v>45322</v>
      </c>
      <c r="E48" s="3">
        <v>69.989999999999995</v>
      </c>
      <c r="F48" s="3">
        <v>2</v>
      </c>
      <c r="G48" s="3">
        <f>((18*(E48*F48))/100)</f>
        <v>25.196399999999997</v>
      </c>
      <c r="H48" s="3">
        <f>E48*F48+G48</f>
        <v>165.1764</v>
      </c>
      <c r="I48">
        <f>ROUND(H48,0)</f>
        <v>165</v>
      </c>
      <c r="J48">
        <f>D48-B48</f>
        <v>4</v>
      </c>
    </row>
    <row r="49" spans="1:10" x14ac:dyDescent="0.3">
      <c r="A49" s="3" t="s">
        <v>102</v>
      </c>
      <c r="B49" s="4">
        <v>45318</v>
      </c>
      <c r="C49" s="3" t="s">
        <v>103</v>
      </c>
      <c r="D49" s="4">
        <v>45322</v>
      </c>
      <c r="E49" s="3">
        <v>39.99</v>
      </c>
      <c r="F49" s="3">
        <v>3</v>
      </c>
      <c r="G49" s="3">
        <f>((18*(E49*F49))/100)</f>
        <v>21.5946</v>
      </c>
      <c r="H49" s="3">
        <f>E49*F49+G49</f>
        <v>141.56459999999998</v>
      </c>
      <c r="I49">
        <f>ROUND(H49,0)</f>
        <v>142</v>
      </c>
      <c r="J49">
        <f>D49-B49</f>
        <v>4</v>
      </c>
    </row>
    <row r="50" spans="1:10" x14ac:dyDescent="0.3">
      <c r="A50" s="3" t="s">
        <v>104</v>
      </c>
      <c r="B50" s="4">
        <v>45319</v>
      </c>
      <c r="C50" s="3" t="s">
        <v>105</v>
      </c>
      <c r="D50" s="4">
        <v>45320</v>
      </c>
      <c r="E50" s="3">
        <v>199.99</v>
      </c>
      <c r="F50" s="3">
        <v>1</v>
      </c>
      <c r="G50" s="3">
        <f>((18*(E50*F50))/100)</f>
        <v>35.998200000000004</v>
      </c>
      <c r="H50" s="3">
        <f>E50*F50+G50</f>
        <v>235.98820000000001</v>
      </c>
      <c r="I50">
        <f>ROUND(H50,0)</f>
        <v>236</v>
      </c>
      <c r="J50">
        <f>D50-B50</f>
        <v>1</v>
      </c>
    </row>
    <row r="51" spans="1:10" x14ac:dyDescent="0.3">
      <c r="A51" s="3" t="s">
        <v>106</v>
      </c>
      <c r="B51" s="4">
        <v>45319</v>
      </c>
      <c r="C51" s="3" t="s">
        <v>107</v>
      </c>
      <c r="D51" s="4">
        <v>45320</v>
      </c>
      <c r="E51" s="3">
        <v>29.99</v>
      </c>
      <c r="F51" s="3">
        <v>5</v>
      </c>
      <c r="G51" s="3">
        <f>((18*(E51*F51))/100)</f>
        <v>26.991</v>
      </c>
      <c r="H51" s="3">
        <f>E51*F51+G51</f>
        <v>176.94099999999997</v>
      </c>
      <c r="I51">
        <f>ROUND(H51,0)</f>
        <v>177</v>
      </c>
      <c r="J51">
        <f>D51-B51</f>
        <v>1</v>
      </c>
    </row>
    <row r="52" spans="1:10" x14ac:dyDescent="0.3">
      <c r="A52" s="3" t="s">
        <v>108</v>
      </c>
      <c r="B52" s="4">
        <v>45320</v>
      </c>
      <c r="C52" s="3" t="s">
        <v>109</v>
      </c>
      <c r="D52" s="4">
        <v>45321</v>
      </c>
      <c r="E52" s="3">
        <v>79.989999999999995</v>
      </c>
      <c r="F52" s="3">
        <v>2</v>
      </c>
      <c r="G52" s="3">
        <f>((18*(E52*F52))/100)</f>
        <v>28.796399999999998</v>
      </c>
      <c r="H52" s="3">
        <f>E52*F52+G52</f>
        <v>188.7764</v>
      </c>
      <c r="I52">
        <f>ROUND(H52,0)</f>
        <v>189</v>
      </c>
      <c r="J52">
        <f>D52-B52</f>
        <v>1</v>
      </c>
    </row>
  </sheetData>
  <conditionalFormatting sqref="P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{61B198F0-CEE6-4854-BFB9-B54A87D91218}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B198F0-CEE6-4854-BFB9-B54A87D912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2026-01-19T07:53:28Z</dcterms:created>
  <dcterms:modified xsi:type="dcterms:W3CDTF">2026-01-19T08:18:42Z</dcterms:modified>
</cp:coreProperties>
</file>