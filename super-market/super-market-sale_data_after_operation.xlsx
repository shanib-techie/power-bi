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<sst xmlns="http://schemas.openxmlformats.org/spreadsheetml/2006/main" count="114" uniqueCount="114">
  <si>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</si>
  <si>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</si>
  <si>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</si>
  <si>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</si>
  <si>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</si>
  <si>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</si>
  <si>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</si>
  <si>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</si>
  <si>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round off</t>
  </si>
  <si>
    <t>dates to reaches parcel</t>
  </si>
  <si>
    <t>tax =</t>
  </si>
  <si>
    <t>1001</t>
  </si>
  <si>
    <t>John Smith</t>
  </si>
  <si>
    <t>1002</t>
  </si>
  <si>
    <t>Jane Doe</t>
  </si>
  <si>
    <t/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</si>
  <si>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</si>
  <si>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</si>
  <si>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</si>
  <si>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</si>
  <si>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</si>
  <si>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</si>
  <si>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</si>
  <si>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</si>
  <si>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</si>
  <si>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</si>
  <si>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</si>
  <si>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</si>
  <si>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</si>
  <si>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</si>
  <si>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</si>
  <si>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</si>
  <si>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</si>
  <si>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</si>
  <si>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</si>
  <si>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</si>
  <si>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</si>
  <si>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</si>
  <si>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</si>
  <si>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</si>
  <si>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</si>
  <si>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</si>
  <si>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</si>
  <si>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</si>
  <si>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</si>
  <si>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</si>
  <si>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</si>
  <si>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</si>
  <si>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</si>
  <si>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</si>
  <si>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</si>
  <si>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</si>
  <si>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</si>
  <si>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</si>
  <si>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</si>
  <si>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</si>
  <si>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</si>
  <si>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</si>
  <si>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</si>
  <si>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</si>
  <si>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</si>
  <si>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</si>
  <si>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</si>
  <si>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</si>
  <si>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</si>
  <si>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</si>
  <si>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</si>
  <si>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</si>
  <si>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</si>
  <si>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</si>
  <si>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</si>
  <si>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</si>
  <si>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</si>
  <si>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</si>
  <si>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</si>
  <si>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</si>
  <si>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</si>
  <si>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</si>
  <si>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</si>
  <si>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</si>
  <si>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</si>
  <si>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</si>
  <si>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</si>
  <si>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</si>
  <si>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</si>
  <si>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</si>
  <si>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1042</t>
  </si>
  <si>
    <t>Sarah Johnson</t>
  </si>
  <si>
    <t>1043</t>
  </si>
  <si>
    <t>Matthew Garcia</t>
  </si>
  <si>
    <t>1045</t>
  </si>
  <si>
    <t>Daniel Hernandez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</si>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</sst>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7276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center"/>
    </xf>
    <xf xfId="0" numFmtId="14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3" applyBorder="1" fontId="2" applyFont="1" fillId="3" applyFill="1" applyAlignment="1">
      <alignment horizontal="right"/>
    </xf>
    <xf xfId="0" numFmtId="3" applyNumberFormat="1" borderId="4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3" applyNumberFormat="1" borderId="4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52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18" width="11.43357142857143" customWidth="1" bestFit="1"/>
    <col min="3" max="3" style="17" width="19.14785714285714" customWidth="1" bestFit="1"/>
    <col min="4" max="4" style="18" width="10.005" customWidth="1" bestFit="1"/>
    <col min="5" max="5" style="19" width="17.433571428571426" customWidth="1" bestFit="1"/>
    <col min="6" max="6" style="20" width="15.290714285714287" customWidth="1" bestFit="1"/>
    <col min="7" max="7" style="19" width="10.005" customWidth="1" bestFit="1"/>
    <col min="8" max="8" style="19" width="11.576428571428572" customWidth="1" bestFit="1"/>
    <col min="9" max="9" style="20" width="13.576428571428572" customWidth="1" bestFit="1"/>
    <col min="10" max="10" style="20" width="22.862142857142857" customWidth="1" bestFit="1"/>
    <col min="11" max="11" style="17" width="13.576428571428572" customWidth="1" bestFit="1"/>
    <col min="12" max="12" style="17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21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6" t="s">
        <v>9</v>
      </c>
      <c r="K1" s="7"/>
      <c r="L1" s="7"/>
      <c r="M1" s="7"/>
      <c r="N1" s="7"/>
      <c r="O1" s="8" t="s">
        <v>10</v>
      </c>
      <c r="P1" s="9">
        <v>18</v>
      </c>
    </row>
    <row x14ac:dyDescent="0.25" r="2" customHeight="1" ht="19.5">
      <c r="A2" s="10" t="s">
        <v>11</v>
      </c>
      <c r="B2" s="11">
        <v>45292</v>
      </c>
      <c r="C2" s="10" t="s">
        <v>12</v>
      </c>
      <c r="D2" s="11">
        <v>45294</v>
      </c>
      <c r="E2" s="12">
        <v>49.99</v>
      </c>
      <c r="F2" s="13">
        <v>2</v>
      </c>
      <c r="G2" s="12">
        <f>((18*(E2*F2))/100)</f>
      </c>
      <c r="H2" s="12">
        <f>E2*F2+G2</f>
      </c>
      <c r="I2" s="14">
        <f>ROUND(H2,0)</f>
      </c>
      <c r="J2" s="14">
        <f>D2-B2</f>
      </c>
      <c r="K2" s="7"/>
      <c r="L2" s="7"/>
      <c r="M2" s="7"/>
      <c r="N2" s="7"/>
      <c r="O2" s="7"/>
      <c r="P2" s="15"/>
    </row>
    <row x14ac:dyDescent="0.25" r="3" customHeight="1" ht="19.5">
      <c r="A3" s="10" t="s">
        <v>13</v>
      </c>
      <c r="B3" s="11">
        <v>45292</v>
      </c>
      <c r="C3" s="10" t="s">
        <v>14</v>
      </c>
      <c r="D3" s="11">
        <v>45295</v>
      </c>
      <c r="E3" s="12">
        <v>29.99</v>
      </c>
      <c r="F3" s="13">
        <v>1</v>
      </c>
      <c r="G3" s="12">
        <f>((18*(E3*F3))/100)</f>
      </c>
      <c r="H3" s="12">
        <f>E3*F3+G3</f>
      </c>
      <c r="I3" s="14">
        <f>ROUND(H3,0)</f>
      </c>
      <c r="J3" s="14">
        <f>D3-B3</f>
      </c>
      <c r="K3" s="7"/>
      <c r="L3" s="16" t="s">
        <v>15</v>
      </c>
      <c r="M3" s="7"/>
      <c r="N3" s="7"/>
      <c r="O3" s="7"/>
      <c r="P3" s="15"/>
    </row>
    <row x14ac:dyDescent="0.25" r="4" customHeight="1" ht="19.5">
      <c r="A4" s="10" t="s">
        <v>16</v>
      </c>
      <c r="B4" s="11">
        <v>45293</v>
      </c>
      <c r="C4" s="10" t="s">
        <v>17</v>
      </c>
      <c r="D4" s="11">
        <v>45298</v>
      </c>
      <c r="E4" s="12">
        <v>99.99</v>
      </c>
      <c r="F4" s="13">
        <v>3</v>
      </c>
      <c r="G4" s="12">
        <f>((18*(E4*F4))/100)</f>
      </c>
      <c r="H4" s="12">
        <f>E4*F4+G4</f>
      </c>
      <c r="I4" s="14">
        <f>ROUND(H4,0)</f>
      </c>
      <c r="J4" s="14">
        <f>D4-B4</f>
      </c>
      <c r="K4" s="7"/>
      <c r="L4" s="7"/>
      <c r="M4" s="7"/>
      <c r="N4" s="7"/>
      <c r="O4" s="7"/>
      <c r="P4" s="15"/>
    </row>
    <row x14ac:dyDescent="0.25" r="5" customHeight="1" ht="19.5">
      <c r="A5" s="10" t="s">
        <v>18</v>
      </c>
      <c r="B5" s="11">
        <v>45293</v>
      </c>
      <c r="C5" s="10" t="s">
        <v>19</v>
      </c>
      <c r="D5" s="11">
        <v>45294</v>
      </c>
      <c r="E5" s="12">
        <v>19.99</v>
      </c>
      <c r="F5" s="13">
        <v>4</v>
      </c>
      <c r="G5" s="12">
        <f>((18*(E5*F5))/100)</f>
      </c>
      <c r="H5" s="12">
        <f>E5*F5+G5</f>
      </c>
      <c r="I5" s="14">
        <f>ROUND(H5,0)</f>
      </c>
      <c r="J5" s="14">
        <f>D5-B5</f>
      </c>
      <c r="K5" s="7"/>
      <c r="L5" s="7"/>
      <c r="M5" s="7"/>
      <c r="N5" s="7"/>
      <c r="O5" s="7"/>
      <c r="P5" s="15"/>
    </row>
    <row x14ac:dyDescent="0.25" r="6" customHeight="1" ht="19.5">
      <c r="A6" s="10" t="s">
        <v>20</v>
      </c>
      <c r="B6" s="11">
        <v>45294</v>
      </c>
      <c r="C6" s="10" t="s">
        <v>21</v>
      </c>
      <c r="D6" s="11">
        <v>45299</v>
      </c>
      <c r="E6" s="12">
        <v>149.99</v>
      </c>
      <c r="F6" s="13">
        <v>1</v>
      </c>
      <c r="G6" s="12">
        <f>((18*(E6*F6))/100)</f>
      </c>
      <c r="H6" s="12">
        <f>E6*F6+G6</f>
      </c>
      <c r="I6" s="14">
        <f>ROUND(H6,0)</f>
      </c>
      <c r="J6" s="14">
        <f>D6-B6</f>
      </c>
      <c r="K6" s="7"/>
      <c r="L6" s="7"/>
      <c r="M6" s="7"/>
      <c r="N6" s="7"/>
      <c r="O6" s="7"/>
      <c r="P6" s="15"/>
    </row>
    <row x14ac:dyDescent="0.25" r="7" customHeight="1" ht="19.5">
      <c r="A7" s="10" t="s">
        <v>22</v>
      </c>
      <c r="B7" s="11">
        <v>45294</v>
      </c>
      <c r="C7" s="10" t="s">
        <v>23</v>
      </c>
      <c r="D7" s="11">
        <v>45297</v>
      </c>
      <c r="E7" s="12">
        <v>79.99</v>
      </c>
      <c r="F7" s="13">
        <v>2</v>
      </c>
      <c r="G7" s="12">
        <f>((18*(E7*F7))/100)</f>
      </c>
      <c r="H7" s="12">
        <f>E7*F7+G7</f>
      </c>
      <c r="I7" s="14">
        <f>ROUND(H7,0)</f>
      </c>
      <c r="J7" s="14">
        <f>D7-B7</f>
      </c>
      <c r="K7" s="7"/>
      <c r="L7" s="7"/>
      <c r="M7" s="7"/>
      <c r="N7" s="7"/>
      <c r="O7" s="7"/>
      <c r="P7" s="15"/>
    </row>
    <row x14ac:dyDescent="0.25" r="8" customHeight="1" ht="19.5">
      <c r="A8" s="10" t="s">
        <v>24</v>
      </c>
      <c r="B8" s="11">
        <v>45295</v>
      </c>
      <c r="C8" s="10" t="s">
        <v>25</v>
      </c>
      <c r="D8" s="11">
        <v>45297</v>
      </c>
      <c r="E8" s="12">
        <v>39.99</v>
      </c>
      <c r="F8" s="13">
        <v>3</v>
      </c>
      <c r="G8" s="12">
        <f>((18*(E8*F8))/100)</f>
      </c>
      <c r="H8" s="12">
        <f>E8*F8+G8</f>
      </c>
      <c r="I8" s="14">
        <f>ROUND(H8,0)</f>
      </c>
      <c r="J8" s="14">
        <f>D8-B8</f>
      </c>
      <c r="K8" s="7"/>
      <c r="L8" s="7"/>
      <c r="M8" s="7"/>
      <c r="N8" s="7"/>
      <c r="O8" s="7"/>
      <c r="P8" s="15"/>
    </row>
    <row x14ac:dyDescent="0.25" r="9" customHeight="1" ht="19.5">
      <c r="A9" s="10" t="s">
        <v>26</v>
      </c>
      <c r="B9" s="11">
        <v>45295</v>
      </c>
      <c r="C9" s="10" t="s">
        <v>27</v>
      </c>
      <c r="D9" s="11">
        <v>45300</v>
      </c>
      <c r="E9" s="12">
        <v>69.99</v>
      </c>
      <c r="F9" s="13">
        <v>2</v>
      </c>
      <c r="G9" s="12">
        <f>((18*(E9*F9))/100)</f>
      </c>
      <c r="H9" s="12">
        <f>E9*F9+G9</f>
      </c>
      <c r="I9" s="14">
        <f>ROUND(H9,0)</f>
      </c>
      <c r="J9" s="14">
        <f>D9-B9</f>
      </c>
      <c r="K9" s="7"/>
      <c r="L9" s="7"/>
      <c r="M9" s="7"/>
      <c r="N9" s="7"/>
      <c r="O9" s="7"/>
      <c r="P9" s="15"/>
    </row>
    <row x14ac:dyDescent="0.25" r="10" customHeight="1" ht="19.5">
      <c r="A10" s="10" t="s">
        <v>28</v>
      </c>
      <c r="B10" s="11">
        <v>45296</v>
      </c>
      <c r="C10" s="10" t="s">
        <v>29</v>
      </c>
      <c r="D10" s="11">
        <v>45297</v>
      </c>
      <c r="E10" s="12">
        <v>89.99</v>
      </c>
      <c r="F10" s="13">
        <v>1</v>
      </c>
      <c r="G10" s="12">
        <f>((18*(E10*F10))/100)</f>
      </c>
      <c r="H10" s="12">
        <f>E10*F10+G10</f>
      </c>
      <c r="I10" s="14">
        <f>ROUND(H10,0)</f>
      </c>
      <c r="J10" s="14">
        <f>D10-B10</f>
      </c>
      <c r="K10" s="7"/>
      <c r="L10" s="7"/>
      <c r="M10" s="7"/>
      <c r="N10" s="7"/>
      <c r="O10" s="7"/>
      <c r="P10" s="15"/>
    </row>
    <row x14ac:dyDescent="0.25" r="11" customHeight="1" ht="19.5">
      <c r="A11" s="10" t="s">
        <v>30</v>
      </c>
      <c r="B11" s="11">
        <v>45296</v>
      </c>
      <c r="C11" s="10" t="s">
        <v>31</v>
      </c>
      <c r="D11" s="11">
        <v>45299</v>
      </c>
      <c r="E11" s="12">
        <v>199.99</v>
      </c>
      <c r="F11" s="13">
        <v>1</v>
      </c>
      <c r="G11" s="12">
        <f>((18*(E11*F11))/100)</f>
      </c>
      <c r="H11" s="12">
        <f>E11*F11+G11</f>
      </c>
      <c r="I11" s="14">
        <f>ROUND(H11,0)</f>
      </c>
      <c r="J11" s="14">
        <f>D11-B11</f>
      </c>
      <c r="K11" s="7"/>
      <c r="L11" s="7"/>
      <c r="M11" s="7"/>
      <c r="N11" s="7"/>
      <c r="O11" s="7"/>
      <c r="P11" s="15"/>
    </row>
    <row x14ac:dyDescent="0.25" r="12" customHeight="1" ht="19.5">
      <c r="A12" s="10" t="s">
        <v>32</v>
      </c>
      <c r="B12" s="11">
        <v>45297</v>
      </c>
      <c r="C12" s="10" t="s">
        <v>33</v>
      </c>
      <c r="D12" s="11">
        <v>45298</v>
      </c>
      <c r="E12" s="12">
        <v>29.99</v>
      </c>
      <c r="F12" s="13">
        <v>5</v>
      </c>
      <c r="G12" s="12">
        <f>((18*(E12*F12))/100)</f>
      </c>
      <c r="H12" s="12">
        <f>E12*F12+G12</f>
      </c>
      <c r="I12" s="14">
        <f>ROUND(H12,0)</f>
      </c>
      <c r="J12" s="14">
        <f>D12-B12</f>
      </c>
      <c r="K12" s="7"/>
      <c r="L12" s="7"/>
      <c r="M12" s="7"/>
      <c r="N12" s="7"/>
      <c r="O12" s="7"/>
      <c r="P12" s="15"/>
    </row>
    <row x14ac:dyDescent="0.25" r="13" customHeight="1" ht="19.5">
      <c r="A13" s="10" t="s">
        <v>34</v>
      </c>
      <c r="B13" s="11">
        <v>45297</v>
      </c>
      <c r="C13" s="10" t="s">
        <v>35</v>
      </c>
      <c r="D13" s="11">
        <v>45299</v>
      </c>
      <c r="E13" s="12">
        <v>79.99</v>
      </c>
      <c r="F13" s="13">
        <v>2</v>
      </c>
      <c r="G13" s="12">
        <f>((18*(E13*F13))/100)</f>
      </c>
      <c r="H13" s="12">
        <f>E13*F13+G13</f>
      </c>
      <c r="I13" s="14">
        <f>ROUND(H13,0)</f>
      </c>
      <c r="J13" s="14">
        <f>D13-B13</f>
      </c>
      <c r="K13" s="7"/>
      <c r="L13" s="7"/>
      <c r="M13" s="7"/>
      <c r="N13" s="7"/>
      <c r="O13" s="7"/>
      <c r="P13" s="15"/>
    </row>
    <row x14ac:dyDescent="0.25" r="14" customHeight="1" ht="19.5">
      <c r="A14" s="10" t="s">
        <v>36</v>
      </c>
      <c r="B14" s="11">
        <v>45298</v>
      </c>
      <c r="C14" s="10" t="s">
        <v>37</v>
      </c>
      <c r="D14" s="11">
        <v>45300</v>
      </c>
      <c r="E14" s="12">
        <v>49.99</v>
      </c>
      <c r="F14" s="13">
        <v>3</v>
      </c>
      <c r="G14" s="12">
        <f>((18*(E14*F14))/100)</f>
      </c>
      <c r="H14" s="12">
        <f>E14*F14+G14</f>
      </c>
      <c r="I14" s="14">
        <f>ROUND(H14,0)</f>
      </c>
      <c r="J14" s="14">
        <f>D14-B14</f>
      </c>
      <c r="K14" s="7"/>
      <c r="L14" s="7"/>
      <c r="M14" s="7"/>
      <c r="N14" s="7"/>
      <c r="O14" s="7"/>
      <c r="P14" s="15"/>
    </row>
    <row x14ac:dyDescent="0.25" r="15" customHeight="1" ht="18.75">
      <c r="A15" s="10" t="s">
        <v>38</v>
      </c>
      <c r="B15" s="11">
        <v>45298</v>
      </c>
      <c r="C15" s="10" t="s">
        <v>39</v>
      </c>
      <c r="D15" s="11">
        <v>45303</v>
      </c>
      <c r="E15" s="12">
        <v>129.99</v>
      </c>
      <c r="F15" s="13">
        <v>1</v>
      </c>
      <c r="G15" s="12">
        <f>((18*(E15*F15))/100)</f>
      </c>
      <c r="H15" s="12">
        <f>E15*F15+G15</f>
      </c>
      <c r="I15" s="14">
        <f>ROUND(H15,0)</f>
      </c>
      <c r="J15" s="14">
        <f>D15-B15</f>
      </c>
      <c r="K15" s="7"/>
      <c r="L15" s="7"/>
      <c r="M15" s="7"/>
      <c r="N15" s="7"/>
      <c r="O15" s="7"/>
      <c r="P15" s="15"/>
    </row>
    <row x14ac:dyDescent="0.25" r="16" customHeight="1" ht="18.75">
      <c r="A16" s="10" t="s">
        <v>40</v>
      </c>
      <c r="B16" s="11">
        <v>45299</v>
      </c>
      <c r="C16" s="10" t="s">
        <v>41</v>
      </c>
      <c r="D16" s="11">
        <v>45304</v>
      </c>
      <c r="E16" s="12">
        <v>19.99</v>
      </c>
      <c r="F16" s="13">
        <v>4</v>
      </c>
      <c r="G16" s="12">
        <f>((18*(E16*F16))/100)</f>
      </c>
      <c r="H16" s="12">
        <f>E16*F16+G16</f>
      </c>
      <c r="I16" s="14">
        <f>ROUND(H16,0)</f>
      </c>
      <c r="J16" s="14">
        <f>D16-B16</f>
      </c>
      <c r="K16" s="7"/>
      <c r="L16" s="7"/>
      <c r="M16" s="7"/>
      <c r="N16" s="7"/>
      <c r="O16" s="7"/>
      <c r="P16" s="15"/>
    </row>
    <row x14ac:dyDescent="0.25" r="17" customHeight="1" ht="18.75">
      <c r="A17" s="10" t="s">
        <v>42</v>
      </c>
      <c r="B17" s="11">
        <v>45299</v>
      </c>
      <c r="C17" s="10" t="s">
        <v>43</v>
      </c>
      <c r="D17" s="11">
        <v>45303</v>
      </c>
      <c r="E17" s="12">
        <v>149.99</v>
      </c>
      <c r="F17" s="13">
        <v>1</v>
      </c>
      <c r="G17" s="12">
        <f>((18*(E17*F17))/100)</f>
      </c>
      <c r="H17" s="12">
        <f>E17*F17+G17</f>
      </c>
      <c r="I17" s="14">
        <f>ROUND(H17,0)</f>
      </c>
      <c r="J17" s="14">
        <f>D17-B17</f>
      </c>
      <c r="K17" s="7"/>
      <c r="L17" s="7"/>
      <c r="M17" s="7"/>
      <c r="N17" s="7"/>
      <c r="O17" s="7"/>
      <c r="P17" s="15"/>
    </row>
    <row x14ac:dyDescent="0.25" r="18" customHeight="1" ht="18.75">
      <c r="A18" s="10" t="s">
        <v>44</v>
      </c>
      <c r="B18" s="11">
        <v>45300</v>
      </c>
      <c r="C18" s="10" t="s">
        <v>45</v>
      </c>
      <c r="D18" s="11">
        <v>45305</v>
      </c>
      <c r="E18" s="12">
        <v>69.99</v>
      </c>
      <c r="F18" s="13">
        <v>2</v>
      </c>
      <c r="G18" s="12">
        <f>((18*(E18*F18))/100)</f>
      </c>
      <c r="H18" s="12">
        <f>E18*F18+G18</f>
      </c>
      <c r="I18" s="14">
        <f>ROUND(H18,0)</f>
      </c>
      <c r="J18" s="14">
        <f>D18-B18</f>
      </c>
      <c r="K18" s="7"/>
      <c r="L18" s="7"/>
      <c r="M18" s="7"/>
      <c r="N18" s="7"/>
      <c r="O18" s="7"/>
      <c r="P18" s="15"/>
    </row>
    <row x14ac:dyDescent="0.25" r="19" customHeight="1" ht="18.75">
      <c r="A19" s="10" t="s">
        <v>46</v>
      </c>
      <c r="B19" s="11">
        <v>45300</v>
      </c>
      <c r="C19" s="10" t="s">
        <v>47</v>
      </c>
      <c r="D19" s="11">
        <v>45303</v>
      </c>
      <c r="E19" s="12">
        <v>39.99</v>
      </c>
      <c r="F19" s="13">
        <v>3</v>
      </c>
      <c r="G19" s="12">
        <f>((18*(E19*F19))/100)</f>
      </c>
      <c r="H19" s="12">
        <f>E19*F19+G19</f>
      </c>
      <c r="I19" s="14">
        <f>ROUND(H19,0)</f>
      </c>
      <c r="J19" s="14">
        <f>D19-B19</f>
      </c>
      <c r="K19" s="7"/>
      <c r="L19" s="7"/>
      <c r="M19" s="7"/>
      <c r="N19" s="7"/>
      <c r="O19" s="7"/>
      <c r="P19" s="15"/>
    </row>
    <row x14ac:dyDescent="0.25" r="20" customHeight="1" ht="18.75">
      <c r="A20" s="10" t="s">
        <v>48</v>
      </c>
      <c r="B20" s="11">
        <v>45301</v>
      </c>
      <c r="C20" s="10" t="s">
        <v>49</v>
      </c>
      <c r="D20" s="11">
        <v>45302</v>
      </c>
      <c r="E20" s="12">
        <v>199.99</v>
      </c>
      <c r="F20" s="13">
        <v>1</v>
      </c>
      <c r="G20" s="12">
        <f>((18*(E20*F20))/100)</f>
      </c>
      <c r="H20" s="12">
        <f>E20*F20+G20</f>
      </c>
      <c r="I20" s="14">
        <f>ROUND(H20,0)</f>
      </c>
      <c r="J20" s="14">
        <f>D20-B20</f>
      </c>
      <c r="K20" s="7"/>
      <c r="L20" s="7"/>
      <c r="M20" s="7"/>
      <c r="N20" s="7"/>
      <c r="O20" s="7"/>
      <c r="P20" s="15"/>
    </row>
    <row x14ac:dyDescent="0.25" r="21" customHeight="1" ht="18.75">
      <c r="A21" s="10" t="s">
        <v>50</v>
      </c>
      <c r="B21" s="11">
        <v>45301</v>
      </c>
      <c r="C21" s="10" t="s">
        <v>51</v>
      </c>
      <c r="D21" s="11">
        <v>45305</v>
      </c>
      <c r="E21" s="12">
        <v>29.99</v>
      </c>
      <c r="F21" s="13">
        <v>5</v>
      </c>
      <c r="G21" s="12">
        <f>((18*(E21*F21))/100)</f>
      </c>
      <c r="H21" s="12">
        <f>E21*F21+G21</f>
      </c>
      <c r="I21" s="14">
        <f>ROUND(H21,0)</f>
      </c>
      <c r="J21" s="14">
        <f>D21-B21</f>
      </c>
      <c r="K21" s="7"/>
      <c r="L21" s="7"/>
      <c r="M21" s="7"/>
      <c r="N21" s="7"/>
      <c r="O21" s="7"/>
      <c r="P21" s="15"/>
    </row>
    <row x14ac:dyDescent="0.25" r="22" customHeight="1" ht="18.75">
      <c r="A22" s="10" t="s">
        <v>52</v>
      </c>
      <c r="B22" s="11">
        <v>45302</v>
      </c>
      <c r="C22" s="10" t="s">
        <v>53</v>
      </c>
      <c r="D22" s="11">
        <v>45305</v>
      </c>
      <c r="E22" s="12">
        <v>79.99</v>
      </c>
      <c r="F22" s="13">
        <v>2</v>
      </c>
      <c r="G22" s="12">
        <f>((18*(E22*F22))/100)</f>
      </c>
      <c r="H22" s="12">
        <f>E22*F22+G22</f>
      </c>
      <c r="I22" s="14">
        <f>ROUND(H22,0)</f>
      </c>
      <c r="J22" s="14">
        <f>D22-B22</f>
      </c>
      <c r="K22" s="7"/>
      <c r="L22" s="7"/>
      <c r="M22" s="7"/>
      <c r="N22" s="7"/>
      <c r="O22" s="7"/>
      <c r="P22" s="15"/>
    </row>
    <row x14ac:dyDescent="0.25" r="23" customHeight="1" ht="18.75">
      <c r="A23" s="10" t="s">
        <v>54</v>
      </c>
      <c r="B23" s="11">
        <v>45302</v>
      </c>
      <c r="C23" s="10" t="s">
        <v>55</v>
      </c>
      <c r="D23" s="11">
        <v>45306</v>
      </c>
      <c r="E23" s="12">
        <v>49.99</v>
      </c>
      <c r="F23" s="13">
        <v>3</v>
      </c>
      <c r="G23" s="12">
        <f>((18*(E23*F23))/100)</f>
      </c>
      <c r="H23" s="12">
        <f>E23*F23+G23</f>
      </c>
      <c r="I23" s="14">
        <f>ROUND(H23,0)</f>
      </c>
      <c r="J23" s="14">
        <f>D23-B23</f>
      </c>
      <c r="K23" s="7"/>
      <c r="L23" s="7"/>
      <c r="M23" s="7"/>
      <c r="N23" s="7"/>
      <c r="O23" s="7"/>
      <c r="P23" s="15"/>
    </row>
    <row x14ac:dyDescent="0.25" r="24" customHeight="1" ht="18.75">
      <c r="A24" s="10" t="s">
        <v>56</v>
      </c>
      <c r="B24" s="11">
        <v>45303</v>
      </c>
      <c r="C24" s="10" t="s">
        <v>57</v>
      </c>
      <c r="D24" s="11">
        <v>45308</v>
      </c>
      <c r="E24" s="12">
        <v>129.99</v>
      </c>
      <c r="F24" s="13">
        <v>1</v>
      </c>
      <c r="G24" s="12">
        <f>((18*(E24*F24))/100)</f>
      </c>
      <c r="H24" s="12">
        <f>E24*F24+G24</f>
      </c>
      <c r="I24" s="14">
        <f>ROUND(H24,0)</f>
      </c>
      <c r="J24" s="14">
        <f>D24-B24</f>
      </c>
      <c r="K24" s="7"/>
      <c r="L24" s="7"/>
      <c r="M24" s="7"/>
      <c r="N24" s="7"/>
      <c r="O24" s="7"/>
      <c r="P24" s="15"/>
    </row>
    <row x14ac:dyDescent="0.25" r="25" customHeight="1" ht="18.75">
      <c r="A25" s="10" t="s">
        <v>58</v>
      </c>
      <c r="B25" s="11">
        <v>45303</v>
      </c>
      <c r="C25" s="10" t="s">
        <v>59</v>
      </c>
      <c r="D25" s="11">
        <v>45308</v>
      </c>
      <c r="E25" s="12">
        <v>19.99</v>
      </c>
      <c r="F25" s="13">
        <v>4</v>
      </c>
      <c r="G25" s="12">
        <f>((18*(E25*F25))/100)</f>
      </c>
      <c r="H25" s="12">
        <f>E25*F25+G25</f>
      </c>
      <c r="I25" s="14">
        <f>ROUND(H25,0)</f>
      </c>
      <c r="J25" s="14">
        <f>D25-B25</f>
      </c>
      <c r="K25" s="7"/>
      <c r="L25" s="7"/>
      <c r="M25" s="7"/>
      <c r="N25" s="7"/>
      <c r="O25" s="7"/>
      <c r="P25" s="15"/>
    </row>
    <row x14ac:dyDescent="0.25" r="26" customHeight="1" ht="18.75">
      <c r="A26" s="10" t="s">
        <v>60</v>
      </c>
      <c r="B26" s="11">
        <v>45304</v>
      </c>
      <c r="C26" s="10" t="s">
        <v>61</v>
      </c>
      <c r="D26" s="11">
        <v>45305</v>
      </c>
      <c r="E26" s="12">
        <v>69.99</v>
      </c>
      <c r="F26" s="13">
        <v>2</v>
      </c>
      <c r="G26" s="12">
        <f>((18*(E26*F26))/100)</f>
      </c>
      <c r="H26" s="12">
        <f>E26*F26+G26</f>
      </c>
      <c r="I26" s="14">
        <f>ROUND(H26,0)</f>
      </c>
      <c r="J26" s="14">
        <f>D26-B26</f>
      </c>
      <c r="K26" s="7"/>
      <c r="L26" s="7"/>
      <c r="M26" s="7"/>
      <c r="N26" s="7"/>
      <c r="O26" s="7"/>
      <c r="P26" s="15"/>
    </row>
    <row x14ac:dyDescent="0.25" r="27" customHeight="1" ht="18.75">
      <c r="A27" s="10" t="s">
        <v>62</v>
      </c>
      <c r="B27" s="11">
        <v>45305</v>
      </c>
      <c r="C27" s="10" t="s">
        <v>63</v>
      </c>
      <c r="D27" s="11">
        <v>45309</v>
      </c>
      <c r="E27" s="12">
        <v>39.99</v>
      </c>
      <c r="F27" s="13">
        <v>3</v>
      </c>
      <c r="G27" s="12">
        <f>((18*(E27*F27))/100)</f>
      </c>
      <c r="H27" s="12">
        <f>E27*F27+G27</f>
      </c>
      <c r="I27" s="14">
        <f>ROUND(H27,0)</f>
      </c>
      <c r="J27" s="14">
        <f>D27-B27</f>
      </c>
      <c r="K27" s="7"/>
      <c r="L27" s="7"/>
      <c r="M27" s="7"/>
      <c r="N27" s="7"/>
      <c r="O27" s="7"/>
      <c r="P27" s="15"/>
    </row>
    <row x14ac:dyDescent="0.25" r="28" customHeight="1" ht="18.75">
      <c r="A28" s="10" t="s">
        <v>64</v>
      </c>
      <c r="B28" s="11">
        <v>45305</v>
      </c>
      <c r="C28" s="10" t="s">
        <v>65</v>
      </c>
      <c r="D28" s="11">
        <v>45310</v>
      </c>
      <c r="E28" s="12">
        <v>199.99</v>
      </c>
      <c r="F28" s="13">
        <v>1</v>
      </c>
      <c r="G28" s="12">
        <f>((18*(E28*F28))/100)</f>
      </c>
      <c r="H28" s="12">
        <f>E28*F28+G28</f>
      </c>
      <c r="I28" s="14">
        <f>ROUND(H28,0)</f>
      </c>
      <c r="J28" s="14">
        <f>D28-B28</f>
      </c>
      <c r="K28" s="7"/>
      <c r="L28" s="7"/>
      <c r="M28" s="7"/>
      <c r="N28" s="7"/>
      <c r="O28" s="7"/>
      <c r="P28" s="15"/>
    </row>
    <row x14ac:dyDescent="0.25" r="29" customHeight="1" ht="18.75">
      <c r="A29" s="10" t="s">
        <v>66</v>
      </c>
      <c r="B29" s="11">
        <v>45306</v>
      </c>
      <c r="C29" s="10" t="s">
        <v>67</v>
      </c>
      <c r="D29" s="11">
        <v>45310</v>
      </c>
      <c r="E29" s="12">
        <v>29.99</v>
      </c>
      <c r="F29" s="13">
        <v>5</v>
      </c>
      <c r="G29" s="12">
        <f>((18*(E29*F29))/100)</f>
      </c>
      <c r="H29" s="12">
        <f>E29*F29+G29</f>
      </c>
      <c r="I29" s="14">
        <f>ROUND(H29,0)</f>
      </c>
      <c r="J29" s="14">
        <f>D29-B29</f>
      </c>
      <c r="K29" s="7"/>
      <c r="L29" s="7"/>
      <c r="M29" s="7"/>
      <c r="N29" s="7"/>
      <c r="O29" s="7"/>
      <c r="P29" s="15"/>
    </row>
    <row x14ac:dyDescent="0.25" r="30" customHeight="1" ht="18.75">
      <c r="A30" s="10" t="s">
        <v>68</v>
      </c>
      <c r="B30" s="11">
        <v>45306</v>
      </c>
      <c r="C30" s="10" t="s">
        <v>69</v>
      </c>
      <c r="D30" s="11">
        <v>45310</v>
      </c>
      <c r="E30" s="12">
        <v>79.99</v>
      </c>
      <c r="F30" s="13">
        <v>2</v>
      </c>
      <c r="G30" s="12">
        <f>((18*(E30*F30))/100)</f>
      </c>
      <c r="H30" s="12">
        <f>E30*F30+G30</f>
      </c>
      <c r="I30" s="14">
        <f>ROUND(H30,0)</f>
      </c>
      <c r="J30" s="14">
        <f>D30-B30</f>
      </c>
      <c r="K30" s="7"/>
      <c r="L30" s="7"/>
      <c r="M30" s="7"/>
      <c r="N30" s="7"/>
      <c r="O30" s="7"/>
      <c r="P30" s="15"/>
    </row>
    <row x14ac:dyDescent="0.25" r="31" customHeight="1" ht="18.75">
      <c r="A31" s="10" t="s">
        <v>70</v>
      </c>
      <c r="B31" s="11">
        <v>45307</v>
      </c>
      <c r="C31" s="10" t="s">
        <v>71</v>
      </c>
      <c r="D31" s="11">
        <v>45310</v>
      </c>
      <c r="E31" s="12">
        <v>49.99</v>
      </c>
      <c r="F31" s="13">
        <v>3</v>
      </c>
      <c r="G31" s="12">
        <f>((18*(E31*F31))/100)</f>
      </c>
      <c r="H31" s="12">
        <f>E31*F31+G31</f>
      </c>
      <c r="I31" s="14">
        <f>ROUND(H31,0)</f>
      </c>
      <c r="J31" s="14">
        <f>D31-B31</f>
      </c>
      <c r="K31" s="7"/>
      <c r="L31" s="7"/>
      <c r="M31" s="7"/>
      <c r="N31" s="7"/>
      <c r="O31" s="7"/>
      <c r="P31" s="15"/>
    </row>
    <row x14ac:dyDescent="0.25" r="32" customHeight="1" ht="18.75">
      <c r="A32" s="10" t="s">
        <v>72</v>
      </c>
      <c r="B32" s="11">
        <v>45307</v>
      </c>
      <c r="C32" s="10" t="s">
        <v>73</v>
      </c>
      <c r="D32" s="11">
        <v>45308</v>
      </c>
      <c r="E32" s="12">
        <v>129.99</v>
      </c>
      <c r="F32" s="13">
        <v>1</v>
      </c>
      <c r="G32" s="12">
        <f>((18*(E32*F32))/100)</f>
      </c>
      <c r="H32" s="12">
        <f>E32*F32+G32</f>
      </c>
      <c r="I32" s="14">
        <f>ROUND(H32,0)</f>
      </c>
      <c r="J32" s="14">
        <f>D32-B32</f>
      </c>
      <c r="K32" s="7"/>
      <c r="L32" s="7"/>
      <c r="M32" s="7"/>
      <c r="N32" s="7"/>
      <c r="O32" s="7"/>
      <c r="P32" s="15"/>
    </row>
    <row x14ac:dyDescent="0.25" r="33" customHeight="1" ht="18.75">
      <c r="A33" s="10" t="s">
        <v>74</v>
      </c>
      <c r="B33" s="11">
        <v>45308</v>
      </c>
      <c r="C33" s="10" t="s">
        <v>75</v>
      </c>
      <c r="D33" s="11">
        <v>45310</v>
      </c>
      <c r="E33" s="12">
        <v>19.99</v>
      </c>
      <c r="F33" s="13">
        <v>4</v>
      </c>
      <c r="G33" s="12">
        <f>((18*(E33*F33))/100)</f>
      </c>
      <c r="H33" s="12">
        <f>E33*F33+G33</f>
      </c>
      <c r="I33" s="14">
        <f>ROUND(H33,0)</f>
      </c>
      <c r="J33" s="14">
        <f>D33-B33</f>
      </c>
      <c r="K33" s="7"/>
      <c r="L33" s="7"/>
      <c r="M33" s="7"/>
      <c r="N33" s="7"/>
      <c r="O33" s="7"/>
      <c r="P33" s="15"/>
    </row>
    <row x14ac:dyDescent="0.25" r="34" customHeight="1" ht="18.75">
      <c r="A34" s="10" t="s">
        <v>76</v>
      </c>
      <c r="B34" s="11">
        <v>45308</v>
      </c>
      <c r="C34" s="10" t="s">
        <v>77</v>
      </c>
      <c r="D34" s="11">
        <v>45310</v>
      </c>
      <c r="E34" s="12">
        <v>149.99</v>
      </c>
      <c r="F34" s="13">
        <v>1</v>
      </c>
      <c r="G34" s="12">
        <f>((18*(E34*F34))/100)</f>
      </c>
      <c r="H34" s="12">
        <f>E34*F34+G34</f>
      </c>
      <c r="I34" s="14">
        <f>ROUND(H34,0)</f>
      </c>
      <c r="J34" s="14">
        <f>D34-B34</f>
      </c>
      <c r="K34" s="7"/>
      <c r="L34" s="7"/>
      <c r="M34" s="7"/>
      <c r="N34" s="7"/>
      <c r="O34" s="7"/>
      <c r="P34" s="15"/>
    </row>
    <row x14ac:dyDescent="0.25" r="35" customHeight="1" ht="18.75">
      <c r="A35" s="10" t="s">
        <v>78</v>
      </c>
      <c r="B35" s="11">
        <v>45309</v>
      </c>
      <c r="C35" s="10" t="s">
        <v>79</v>
      </c>
      <c r="D35" s="11">
        <v>45314</v>
      </c>
      <c r="E35" s="12">
        <v>69.99</v>
      </c>
      <c r="F35" s="13">
        <v>2</v>
      </c>
      <c r="G35" s="12">
        <f>((18*(E35*F35))/100)</f>
      </c>
      <c r="H35" s="12">
        <f>E35*F35+G35</f>
      </c>
      <c r="I35" s="14">
        <f>ROUND(H35,0)</f>
      </c>
      <c r="J35" s="14">
        <f>D35-B35</f>
      </c>
      <c r="K35" s="7"/>
      <c r="L35" s="7"/>
      <c r="M35" s="7"/>
      <c r="N35" s="7"/>
      <c r="O35" s="7"/>
      <c r="P35" s="15"/>
    </row>
    <row x14ac:dyDescent="0.25" r="36" customHeight="1" ht="18.75">
      <c r="A36" s="10" t="s">
        <v>80</v>
      </c>
      <c r="B36" s="11">
        <v>45309</v>
      </c>
      <c r="C36" s="10" t="s">
        <v>81</v>
      </c>
      <c r="D36" s="11">
        <v>45310</v>
      </c>
      <c r="E36" s="12">
        <v>39.99</v>
      </c>
      <c r="F36" s="13">
        <v>3</v>
      </c>
      <c r="G36" s="12">
        <f>((18*(E36*F36))/100)</f>
      </c>
      <c r="H36" s="12">
        <f>E36*F36+G36</f>
      </c>
      <c r="I36" s="14">
        <f>ROUND(H36,0)</f>
      </c>
      <c r="J36" s="14">
        <f>D36-B36</f>
      </c>
      <c r="K36" s="7"/>
      <c r="L36" s="7"/>
      <c r="M36" s="7"/>
      <c r="N36" s="7"/>
      <c r="O36" s="7"/>
      <c r="P36" s="15"/>
    </row>
    <row x14ac:dyDescent="0.25" r="37" customHeight="1" ht="18.75">
      <c r="A37" s="10" t="s">
        <v>82</v>
      </c>
      <c r="B37" s="11">
        <v>45310</v>
      </c>
      <c r="C37" s="10" t="s">
        <v>83</v>
      </c>
      <c r="D37" s="11">
        <v>45311</v>
      </c>
      <c r="E37" s="12">
        <v>199.99</v>
      </c>
      <c r="F37" s="13">
        <v>1</v>
      </c>
      <c r="G37" s="12">
        <f>((18*(E37*F37))/100)</f>
      </c>
      <c r="H37" s="12">
        <f>E37*F37+G37</f>
      </c>
      <c r="I37" s="14">
        <f>ROUND(H37,0)</f>
      </c>
      <c r="J37" s="14">
        <f>D37-B37</f>
      </c>
      <c r="K37" s="7"/>
      <c r="L37" s="7"/>
      <c r="M37" s="7"/>
      <c r="N37" s="7"/>
      <c r="O37" s="7"/>
      <c r="P37" s="15"/>
    </row>
    <row x14ac:dyDescent="0.25" r="38" customHeight="1" ht="18.75">
      <c r="A38" s="10" t="s">
        <v>84</v>
      </c>
      <c r="B38" s="11">
        <v>45310</v>
      </c>
      <c r="C38" s="10" t="s">
        <v>85</v>
      </c>
      <c r="D38" s="11">
        <v>45313</v>
      </c>
      <c r="E38" s="12">
        <v>29.99</v>
      </c>
      <c r="F38" s="13">
        <v>5</v>
      </c>
      <c r="G38" s="12">
        <f>((18*(E38*F38))/100)</f>
      </c>
      <c r="H38" s="12">
        <f>E38*F38+G38</f>
      </c>
      <c r="I38" s="14">
        <f>ROUND(H38,0)</f>
      </c>
      <c r="J38" s="14">
        <f>D38-B38</f>
      </c>
      <c r="K38" s="7"/>
      <c r="L38" s="7"/>
      <c r="M38" s="7"/>
      <c r="N38" s="7"/>
      <c r="O38" s="7"/>
      <c r="P38" s="15"/>
    </row>
    <row x14ac:dyDescent="0.25" r="39" customHeight="1" ht="18.75">
      <c r="A39" s="10" t="s">
        <v>86</v>
      </c>
      <c r="B39" s="11">
        <v>45312</v>
      </c>
      <c r="C39" s="10" t="s">
        <v>87</v>
      </c>
      <c r="D39" s="11">
        <v>45314</v>
      </c>
      <c r="E39" s="12">
        <v>19.99</v>
      </c>
      <c r="F39" s="13">
        <v>4</v>
      </c>
      <c r="G39" s="12">
        <f>((18*(E39*F39))/100)</f>
      </c>
      <c r="H39" s="12">
        <f>E39*F39+G39</f>
      </c>
      <c r="I39" s="14">
        <f>ROUND(H39,0)</f>
      </c>
      <c r="J39" s="14">
        <f>D39-B39</f>
      </c>
      <c r="K39" s="7"/>
      <c r="L39" s="7"/>
      <c r="M39" s="7"/>
      <c r="N39" s="7"/>
      <c r="O39" s="7"/>
      <c r="P39" s="15"/>
    </row>
    <row x14ac:dyDescent="0.25" r="40" customHeight="1" ht="18.75">
      <c r="A40" s="10" t="s">
        <v>88</v>
      </c>
      <c r="B40" s="11">
        <v>45313</v>
      </c>
      <c r="C40" s="10" t="s">
        <v>89</v>
      </c>
      <c r="D40" s="11">
        <v>45316</v>
      </c>
      <c r="E40" s="12">
        <v>149.99</v>
      </c>
      <c r="F40" s="13">
        <v>1</v>
      </c>
      <c r="G40" s="12">
        <f>((18*(E40*F40))/100)</f>
      </c>
      <c r="H40" s="12">
        <f>E40*F40+G40</f>
      </c>
      <c r="I40" s="14">
        <f>ROUND(H40,0)</f>
      </c>
      <c r="J40" s="14">
        <f>D40-B40</f>
      </c>
      <c r="K40" s="7"/>
      <c r="L40" s="7"/>
      <c r="M40" s="7"/>
      <c r="N40" s="7"/>
      <c r="O40" s="7"/>
      <c r="P40" s="15"/>
    </row>
    <row x14ac:dyDescent="0.25" r="41" customHeight="1" ht="18.75">
      <c r="A41" s="10" t="s">
        <v>90</v>
      </c>
      <c r="B41" s="11">
        <v>45314</v>
      </c>
      <c r="C41" s="10" t="s">
        <v>91</v>
      </c>
      <c r="D41" s="11">
        <v>45318</v>
      </c>
      <c r="E41" s="12">
        <v>39.99</v>
      </c>
      <c r="F41" s="13">
        <v>3</v>
      </c>
      <c r="G41" s="12">
        <f>((18*(E41*F41))/100)</f>
      </c>
      <c r="H41" s="12">
        <f>E41*F41+G41</f>
      </c>
      <c r="I41" s="14">
        <f>ROUND(H41,0)</f>
      </c>
      <c r="J41" s="14">
        <f>D41-B41</f>
      </c>
      <c r="K41" s="7"/>
      <c r="L41" s="7"/>
      <c r="M41" s="7"/>
      <c r="N41" s="7"/>
      <c r="O41" s="7"/>
      <c r="P41" s="15"/>
    </row>
    <row x14ac:dyDescent="0.25" r="42" customHeight="1" ht="18.75">
      <c r="A42" s="10" t="s">
        <v>92</v>
      </c>
      <c r="B42" s="11">
        <v>45315</v>
      </c>
      <c r="C42" s="10" t="s">
        <v>93</v>
      </c>
      <c r="D42" s="11">
        <v>45316</v>
      </c>
      <c r="E42" s="12">
        <v>29.99</v>
      </c>
      <c r="F42" s="13">
        <v>5</v>
      </c>
      <c r="G42" s="12">
        <f>((18*(E42*F42))/100)</f>
      </c>
      <c r="H42" s="12">
        <f>E42*F42+G42</f>
      </c>
      <c r="I42" s="14">
        <f>ROUND(H42,0)</f>
      </c>
      <c r="J42" s="14">
        <f>D42-B42</f>
      </c>
      <c r="K42" s="7"/>
      <c r="L42" s="7"/>
      <c r="M42" s="7"/>
      <c r="N42" s="7"/>
      <c r="O42" s="7"/>
      <c r="P42" s="15"/>
    </row>
    <row x14ac:dyDescent="0.25" r="43" customHeight="1" ht="18.75">
      <c r="A43" s="10" t="s">
        <v>94</v>
      </c>
      <c r="B43" s="11">
        <v>45315</v>
      </c>
      <c r="C43" s="10" t="s">
        <v>95</v>
      </c>
      <c r="D43" s="11">
        <v>45317</v>
      </c>
      <c r="E43" s="12">
        <v>79.99</v>
      </c>
      <c r="F43" s="13">
        <v>2</v>
      </c>
      <c r="G43" s="12">
        <f>((18*(E43*F43))/100)</f>
      </c>
      <c r="H43" s="12">
        <f>E43*F43+G43</f>
      </c>
      <c r="I43" s="14">
        <f>ROUND(H43,0)</f>
      </c>
      <c r="J43" s="14">
        <f>D43-B43</f>
      </c>
      <c r="K43" s="7"/>
      <c r="L43" s="7"/>
      <c r="M43" s="7"/>
      <c r="N43" s="7"/>
      <c r="O43" s="7"/>
      <c r="P43" s="15"/>
    </row>
    <row x14ac:dyDescent="0.25" r="44" customHeight="1" ht="18.75">
      <c r="A44" s="10" t="s">
        <v>96</v>
      </c>
      <c r="B44" s="11">
        <v>45316</v>
      </c>
      <c r="C44" s="10" t="s">
        <v>97</v>
      </c>
      <c r="D44" s="11">
        <v>45321</v>
      </c>
      <c r="E44" s="12">
        <v>49.99</v>
      </c>
      <c r="F44" s="13">
        <v>3</v>
      </c>
      <c r="G44" s="12">
        <f>((18*(E44*F44))/100)</f>
      </c>
      <c r="H44" s="12">
        <f>E44*F44+G44</f>
      </c>
      <c r="I44" s="14">
        <f>ROUND(H44,0)</f>
      </c>
      <c r="J44" s="14">
        <f>D44-B44</f>
      </c>
      <c r="K44" s="7"/>
      <c r="L44" s="7"/>
      <c r="M44" s="7"/>
      <c r="N44" s="7"/>
      <c r="O44" s="7"/>
      <c r="P44" s="15"/>
    </row>
    <row x14ac:dyDescent="0.25" r="45" customHeight="1" ht="18.75">
      <c r="A45" s="10" t="s">
        <v>98</v>
      </c>
      <c r="B45" s="11">
        <v>45316</v>
      </c>
      <c r="C45" s="10" t="s">
        <v>99</v>
      </c>
      <c r="D45" s="11">
        <v>45318</v>
      </c>
      <c r="E45" s="12">
        <v>129.99</v>
      </c>
      <c r="F45" s="13">
        <v>1</v>
      </c>
      <c r="G45" s="12">
        <f>((18*(E45*F45))/100)</f>
      </c>
      <c r="H45" s="12">
        <f>E45*F45+G45</f>
      </c>
      <c r="I45" s="14">
        <f>ROUND(H45,0)</f>
      </c>
      <c r="J45" s="14">
        <f>D45-B45</f>
      </c>
      <c r="K45" s="7"/>
      <c r="L45" s="7"/>
      <c r="M45" s="7"/>
      <c r="N45" s="7"/>
      <c r="O45" s="7"/>
      <c r="P45" s="15"/>
    </row>
    <row x14ac:dyDescent="0.25" r="46" customHeight="1" ht="18.75">
      <c r="A46" s="10" t="s">
        <v>100</v>
      </c>
      <c r="B46" s="11">
        <v>45317</v>
      </c>
      <c r="C46" s="10" t="s">
        <v>101</v>
      </c>
      <c r="D46" s="11">
        <v>45320</v>
      </c>
      <c r="E46" s="12">
        <v>19.99</v>
      </c>
      <c r="F46" s="13">
        <v>4</v>
      </c>
      <c r="G46" s="12">
        <f>((18*(E46*F46))/100)</f>
      </c>
      <c r="H46" s="12">
        <f>E46*F46+G46</f>
      </c>
      <c r="I46" s="14">
        <f>ROUND(H46,0)</f>
      </c>
      <c r="J46" s="14">
        <f>D46-B46</f>
      </c>
      <c r="K46" s="7"/>
      <c r="L46" s="7"/>
      <c r="M46" s="7"/>
      <c r="N46" s="7"/>
      <c r="O46" s="7"/>
      <c r="P46" s="15"/>
    </row>
    <row x14ac:dyDescent="0.25" r="47" customHeight="1" ht="18.75">
      <c r="A47" s="10" t="s">
        <v>102</v>
      </c>
      <c r="B47" s="11">
        <v>45317</v>
      </c>
      <c r="C47" s="10" t="s">
        <v>103</v>
      </c>
      <c r="D47" s="11">
        <v>45319</v>
      </c>
      <c r="E47" s="12">
        <v>149.99</v>
      </c>
      <c r="F47" s="13">
        <v>1</v>
      </c>
      <c r="G47" s="12">
        <f>((18*(E47*F47))/100)</f>
      </c>
      <c r="H47" s="12">
        <f>E47*F47+G47</f>
      </c>
      <c r="I47" s="14">
        <f>ROUND(H47,0)</f>
      </c>
      <c r="J47" s="14">
        <f>D47-B47</f>
      </c>
      <c r="K47" s="7"/>
      <c r="L47" s="7"/>
      <c r="M47" s="7"/>
      <c r="N47" s="7"/>
      <c r="O47" s="7"/>
      <c r="P47" s="15"/>
    </row>
    <row x14ac:dyDescent="0.25" r="48" customHeight="1" ht="18.75">
      <c r="A48" s="10" t="s">
        <v>104</v>
      </c>
      <c r="B48" s="11">
        <v>45318</v>
      </c>
      <c r="C48" s="10" t="s">
        <v>105</v>
      </c>
      <c r="D48" s="11">
        <v>45322</v>
      </c>
      <c r="E48" s="12">
        <v>69.99</v>
      </c>
      <c r="F48" s="13">
        <v>2</v>
      </c>
      <c r="G48" s="12">
        <f>((18*(E48*F48))/100)</f>
      </c>
      <c r="H48" s="12">
        <f>E48*F48+G48</f>
      </c>
      <c r="I48" s="14">
        <f>ROUND(H48,0)</f>
      </c>
      <c r="J48" s="14">
        <f>D48-B48</f>
      </c>
      <c r="K48" s="7"/>
      <c r="L48" s="7"/>
      <c r="M48" s="7"/>
      <c r="N48" s="7"/>
      <c r="O48" s="7"/>
      <c r="P48" s="15"/>
    </row>
    <row x14ac:dyDescent="0.25" r="49" customHeight="1" ht="18.75">
      <c r="A49" s="10" t="s">
        <v>106</v>
      </c>
      <c r="B49" s="11">
        <v>45318</v>
      </c>
      <c r="C49" s="10" t="s">
        <v>107</v>
      </c>
      <c r="D49" s="11">
        <v>45322</v>
      </c>
      <c r="E49" s="12">
        <v>39.99</v>
      </c>
      <c r="F49" s="13">
        <v>3</v>
      </c>
      <c r="G49" s="12">
        <f>((18*(E49*F49))/100)</f>
      </c>
      <c r="H49" s="12">
        <f>E49*F49+G49</f>
      </c>
      <c r="I49" s="14">
        <f>ROUND(H49,0)</f>
      </c>
      <c r="J49" s="14">
        <f>D49-B49</f>
      </c>
      <c r="K49" s="7"/>
      <c r="L49" s="7"/>
      <c r="M49" s="7"/>
      <c r="N49" s="7"/>
      <c r="O49" s="7"/>
      <c r="P49" s="15"/>
    </row>
    <row x14ac:dyDescent="0.25" r="50" customHeight="1" ht="18.75">
      <c r="A50" s="10" t="s">
        <v>108</v>
      </c>
      <c r="B50" s="11">
        <v>45319</v>
      </c>
      <c r="C50" s="10" t="s">
        <v>109</v>
      </c>
      <c r="D50" s="11">
        <v>45320</v>
      </c>
      <c r="E50" s="12">
        <v>199.99</v>
      </c>
      <c r="F50" s="13">
        <v>1</v>
      </c>
      <c r="G50" s="12">
        <f>((18*(E50*F50))/100)</f>
      </c>
      <c r="H50" s="12">
        <f>E50*F50+G50</f>
      </c>
      <c r="I50" s="14">
        <f>ROUND(H50,0)</f>
      </c>
      <c r="J50" s="14">
        <f>D50-B50</f>
      </c>
      <c r="K50" s="7"/>
      <c r="L50" s="7"/>
      <c r="M50" s="7"/>
      <c r="N50" s="7"/>
      <c r="O50" s="7"/>
      <c r="P50" s="15"/>
    </row>
    <row x14ac:dyDescent="0.25" r="51" customHeight="1" ht="18.75">
      <c r="A51" s="10" t="s">
        <v>110</v>
      </c>
      <c r="B51" s="11">
        <v>45319</v>
      </c>
      <c r="C51" s="10" t="s">
        <v>111</v>
      </c>
      <c r="D51" s="11">
        <v>45320</v>
      </c>
      <c r="E51" s="12">
        <v>29.99</v>
      </c>
      <c r="F51" s="13">
        <v>5</v>
      </c>
      <c r="G51" s="12">
        <f>((18*(E51*F51))/100)</f>
      </c>
      <c r="H51" s="12">
        <f>E51*F51+G51</f>
      </c>
      <c r="I51" s="14">
        <f>ROUND(H51,0)</f>
      </c>
      <c r="J51" s="14">
        <f>D51-B51</f>
      </c>
      <c r="K51" s="7"/>
      <c r="L51" s="7"/>
      <c r="M51" s="7"/>
      <c r="N51" s="7"/>
      <c r="O51" s="7"/>
      <c r="P51" s="15"/>
    </row>
    <row x14ac:dyDescent="0.25" r="52" customHeight="1" ht="18.75">
      <c r="A52" s="10" t="s">
        <v>112</v>
      </c>
      <c r="B52" s="11">
        <v>45320</v>
      </c>
      <c r="C52" s="10" t="s">
        <v>113</v>
      </c>
      <c r="D52" s="11">
        <v>45321</v>
      </c>
      <c r="E52" s="12">
        <v>79.99</v>
      </c>
      <c r="F52" s="13">
        <v>2</v>
      </c>
      <c r="G52" s="12">
        <f>((18*(E52*F52))/100)</f>
      </c>
      <c r="H52" s="12">
        <f>E52*F52+G52</f>
      </c>
      <c r="I52" s="14">
        <f>ROUND(H52,0)</f>
      </c>
      <c r="J52" s="14">
        <f>D52-B52</f>
      </c>
      <c r="K52" s="7"/>
      <c r="L52" s="7"/>
      <c r="M52" s="7"/>
      <c r="N52" s="7"/>
      <c r="O52" s="7"/>
      <c r="P52" s="1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2026-02-28T10:22:00.584Z</dcterms:created>
  <dcterms:modified xsi:type="dcterms:W3CDTF">2026-02-28T10:22:00.584Z</dcterms:modified>
</cp:coreProperties>
</file>